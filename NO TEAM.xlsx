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8192DD22-33D3-4025-9162-D56B94F754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9" i="1" l="1"/>
  <c r="G20" i="1"/>
  <c r="G21" i="1"/>
  <c r="G22" i="1"/>
  <c r="G23" i="1"/>
  <c r="G24" i="1"/>
  <c r="G25" i="1"/>
  <c r="H19" i="1"/>
  <c r="H20" i="1"/>
  <c r="H21" i="1"/>
  <c r="H22" i="1"/>
  <c r="H23" i="1"/>
  <c r="J68" i="1"/>
  <c r="K68" i="1"/>
  <c r="L68" i="1"/>
  <c r="M68" i="1"/>
  <c r="N68" i="1"/>
  <c r="J69" i="1"/>
  <c r="K69" i="1"/>
  <c r="L69" i="1"/>
  <c r="M69" i="1"/>
  <c r="N69" i="1"/>
  <c r="J70" i="1"/>
  <c r="K70" i="1"/>
  <c r="L70" i="1"/>
  <c r="M70" i="1"/>
  <c r="N70" i="1"/>
  <c r="J71" i="1"/>
  <c r="K71" i="1"/>
  <c r="L71" i="1"/>
  <c r="M71" i="1"/>
  <c r="N71" i="1"/>
  <c r="J72" i="1"/>
  <c r="K72" i="1"/>
  <c r="L72" i="1"/>
  <c r="M72" i="1"/>
  <c r="N72" i="1"/>
  <c r="J73" i="1"/>
  <c r="K73" i="1"/>
  <c r="L73" i="1"/>
  <c r="M73" i="1"/>
  <c r="N73" i="1"/>
  <c r="N67" i="1"/>
  <c r="M67" i="1"/>
  <c r="L67" i="1"/>
  <c r="J61" i="1"/>
  <c r="K61" i="1"/>
  <c r="L61" i="1"/>
  <c r="M61" i="1"/>
  <c r="N61" i="1"/>
  <c r="J56" i="1"/>
  <c r="K56" i="1"/>
  <c r="L56" i="1"/>
  <c r="M56" i="1"/>
  <c r="N56" i="1"/>
  <c r="J57" i="1"/>
  <c r="K57" i="1"/>
  <c r="L57" i="1"/>
  <c r="M57" i="1"/>
  <c r="N57" i="1"/>
  <c r="J58" i="1"/>
  <c r="K58" i="1"/>
  <c r="L58" i="1"/>
  <c r="M58" i="1"/>
  <c r="N58" i="1"/>
  <c r="J59" i="1"/>
  <c r="K59" i="1"/>
  <c r="L59" i="1"/>
  <c r="M59" i="1"/>
  <c r="N59" i="1"/>
  <c r="J60" i="1"/>
  <c r="K60" i="1"/>
  <c r="L60" i="1"/>
  <c r="M60" i="1"/>
  <c r="N60" i="1"/>
  <c r="N55" i="1"/>
  <c r="M55" i="1"/>
  <c r="L55" i="1"/>
  <c r="K55" i="1"/>
  <c r="J55" i="1"/>
  <c r="H55" i="1" s="1"/>
  <c r="J44" i="1"/>
  <c r="I44" i="1" s="1"/>
  <c r="K44" i="1"/>
  <c r="L44" i="1"/>
  <c r="M44" i="1"/>
  <c r="N44" i="1"/>
  <c r="J45" i="1"/>
  <c r="K45" i="1"/>
  <c r="L45" i="1"/>
  <c r="M45" i="1"/>
  <c r="N45" i="1"/>
  <c r="J46" i="1"/>
  <c r="K46" i="1"/>
  <c r="L46" i="1"/>
  <c r="M46" i="1"/>
  <c r="N46" i="1"/>
  <c r="J47" i="1"/>
  <c r="K47" i="1"/>
  <c r="L47" i="1"/>
  <c r="M47" i="1"/>
  <c r="N47" i="1"/>
  <c r="J48" i="1"/>
  <c r="K48" i="1"/>
  <c r="L48" i="1"/>
  <c r="M48" i="1"/>
  <c r="N48" i="1"/>
  <c r="J49" i="1"/>
  <c r="K49" i="1"/>
  <c r="L49" i="1"/>
  <c r="M49" i="1"/>
  <c r="N49" i="1"/>
  <c r="N43" i="1"/>
  <c r="M43" i="1"/>
  <c r="L43" i="1"/>
  <c r="K43" i="1"/>
  <c r="J43" i="1"/>
  <c r="I43" i="1" s="1"/>
  <c r="J32" i="1"/>
  <c r="K32" i="1"/>
  <c r="L32" i="1"/>
  <c r="M32" i="1"/>
  <c r="N32" i="1"/>
  <c r="J33" i="1"/>
  <c r="K33" i="1"/>
  <c r="L33" i="1"/>
  <c r="M33" i="1"/>
  <c r="N33" i="1"/>
  <c r="J34" i="1"/>
  <c r="K34" i="1"/>
  <c r="L34" i="1"/>
  <c r="M34" i="1"/>
  <c r="N34" i="1"/>
  <c r="J35" i="1"/>
  <c r="K35" i="1"/>
  <c r="L35" i="1"/>
  <c r="M35" i="1"/>
  <c r="N35" i="1"/>
  <c r="J36" i="1"/>
  <c r="K36" i="1"/>
  <c r="L36" i="1"/>
  <c r="M36" i="1"/>
  <c r="N36" i="1"/>
  <c r="J37" i="1"/>
  <c r="K37" i="1"/>
  <c r="L37" i="1"/>
  <c r="M37" i="1"/>
  <c r="N37" i="1"/>
  <c r="N31" i="1"/>
  <c r="M31" i="1"/>
  <c r="L31" i="1"/>
  <c r="K31" i="1"/>
  <c r="J31" i="1"/>
  <c r="J21" i="1"/>
  <c r="K21" i="1"/>
  <c r="L21" i="1"/>
  <c r="M21" i="1"/>
  <c r="N21" i="1"/>
  <c r="J22" i="1"/>
  <c r="K22" i="1"/>
  <c r="L22" i="1"/>
  <c r="M22" i="1"/>
  <c r="N22" i="1"/>
  <c r="J23" i="1"/>
  <c r="K23" i="1"/>
  <c r="L23" i="1"/>
  <c r="M23" i="1"/>
  <c r="N23" i="1"/>
  <c r="J24" i="1"/>
  <c r="K24" i="1"/>
  <c r="L24" i="1"/>
  <c r="M24" i="1"/>
  <c r="N24" i="1"/>
  <c r="J25" i="1"/>
  <c r="K25" i="1"/>
  <c r="L25" i="1"/>
  <c r="M25" i="1"/>
  <c r="N25" i="1"/>
  <c r="M19" i="1"/>
  <c r="M20" i="1"/>
  <c r="N19" i="1"/>
  <c r="N20" i="1"/>
  <c r="L20" i="1"/>
  <c r="L19" i="1"/>
  <c r="K20" i="1"/>
  <c r="K19" i="1"/>
  <c r="J20" i="1"/>
  <c r="J19" i="1"/>
  <c r="I67" i="1"/>
  <c r="K67" i="1"/>
  <c r="J67" i="1"/>
  <c r="G73" i="1"/>
  <c r="G72" i="1"/>
  <c r="G71" i="1"/>
  <c r="G70" i="1"/>
  <c r="G69" i="1"/>
  <c r="G68" i="1"/>
  <c r="G67" i="1"/>
  <c r="H61" i="1"/>
  <c r="G61" i="1"/>
  <c r="H60" i="1"/>
  <c r="G60" i="1"/>
  <c r="H59" i="1"/>
  <c r="G59" i="1"/>
  <c r="G58" i="1"/>
  <c r="H57" i="1"/>
  <c r="G57" i="1"/>
  <c r="H56" i="1"/>
  <c r="G56" i="1"/>
  <c r="G55" i="1"/>
  <c r="I49" i="1"/>
  <c r="G49" i="1"/>
  <c r="I48" i="1"/>
  <c r="G48" i="1"/>
  <c r="I47" i="1"/>
  <c r="G47" i="1"/>
  <c r="I46" i="1"/>
  <c r="G46" i="1"/>
  <c r="I45" i="1"/>
  <c r="G45" i="1"/>
  <c r="G44" i="1"/>
  <c r="G43" i="1"/>
  <c r="H37" i="1"/>
  <c r="G37" i="1"/>
  <c r="G36" i="1"/>
  <c r="I35" i="1"/>
  <c r="G35" i="1"/>
  <c r="G34" i="1"/>
  <c r="G33" i="1"/>
  <c r="I32" i="1"/>
  <c r="G32" i="1"/>
  <c r="G31" i="1"/>
  <c r="G12" i="1"/>
  <c r="G6" i="1"/>
  <c r="M7" i="1"/>
  <c r="N7" i="1"/>
  <c r="K8" i="1"/>
  <c r="K7" i="1"/>
  <c r="L7" i="1"/>
  <c r="J7" i="1"/>
  <c r="N9" i="1"/>
  <c r="M9" i="1"/>
  <c r="L9" i="1"/>
  <c r="K9" i="1"/>
  <c r="J9" i="1"/>
  <c r="N12" i="1"/>
  <c r="M12" i="1"/>
  <c r="L12" i="1"/>
  <c r="K12" i="1"/>
  <c r="J12" i="1"/>
  <c r="N11" i="1"/>
  <c r="M11" i="1"/>
  <c r="L11" i="1"/>
  <c r="K11" i="1"/>
  <c r="J11" i="1"/>
  <c r="N6" i="1"/>
  <c r="M6" i="1"/>
  <c r="L6" i="1"/>
  <c r="K6" i="1"/>
  <c r="J6" i="1"/>
  <c r="H6" i="1" s="1"/>
  <c r="J10" i="1"/>
  <c r="K10" i="1"/>
  <c r="L10" i="1"/>
  <c r="M10" i="1"/>
  <c r="N10" i="1"/>
  <c r="N8" i="1"/>
  <c r="M8" i="1"/>
  <c r="L8" i="1"/>
  <c r="J8" i="1"/>
  <c r="G9" i="1"/>
  <c r="G8" i="1"/>
  <c r="G7" i="1"/>
  <c r="G11" i="1"/>
  <c r="G10" i="1"/>
  <c r="I36" i="1" l="1"/>
  <c r="K38" i="1"/>
  <c r="L38" i="1"/>
  <c r="I59" i="1"/>
  <c r="I34" i="1"/>
  <c r="K62" i="1"/>
  <c r="I61" i="1"/>
  <c r="K74" i="1"/>
  <c r="H8" i="1"/>
  <c r="I10" i="1"/>
  <c r="H9" i="1"/>
  <c r="H45" i="1"/>
  <c r="H49" i="1"/>
  <c r="N62" i="1"/>
  <c r="I60" i="1"/>
  <c r="M38" i="1"/>
  <c r="K50" i="1"/>
  <c r="H12" i="1"/>
  <c r="N38" i="1"/>
  <c r="H43" i="1"/>
  <c r="H47" i="1"/>
  <c r="J26" i="1"/>
  <c r="I25" i="1"/>
  <c r="I21" i="1"/>
  <c r="I71" i="1"/>
  <c r="J74" i="1"/>
  <c r="H73" i="1"/>
  <c r="I69" i="1"/>
  <c r="I70" i="1"/>
  <c r="H68" i="1"/>
  <c r="I72" i="1"/>
  <c r="J62" i="1"/>
  <c r="I58" i="1"/>
  <c r="I57" i="1"/>
  <c r="L62" i="1"/>
  <c r="I56" i="1"/>
  <c r="M62" i="1"/>
  <c r="H44" i="1"/>
  <c r="H48" i="1"/>
  <c r="M50" i="1"/>
  <c r="N50" i="1"/>
  <c r="H46" i="1"/>
  <c r="I37" i="1"/>
  <c r="H33" i="1"/>
  <c r="J38" i="1"/>
  <c r="I20" i="1"/>
  <c r="I24" i="1"/>
  <c r="I23" i="1"/>
  <c r="K26" i="1"/>
  <c r="I22" i="1"/>
  <c r="H69" i="1"/>
  <c r="H72" i="1"/>
  <c r="I68" i="1"/>
  <c r="I73" i="1"/>
  <c r="H67" i="1"/>
  <c r="H70" i="1"/>
  <c r="H71" i="1"/>
  <c r="H58" i="1"/>
  <c r="I55" i="1"/>
  <c r="J50" i="1"/>
  <c r="L50" i="1"/>
  <c r="I31" i="1"/>
  <c r="I33" i="1"/>
  <c r="H31" i="1"/>
  <c r="H32" i="1"/>
  <c r="H34" i="1"/>
  <c r="H35" i="1"/>
  <c r="H36" i="1"/>
  <c r="H24" i="1"/>
  <c r="H25" i="1"/>
  <c r="L26" i="1"/>
  <c r="I19" i="1"/>
  <c r="H11" i="1"/>
  <c r="I12" i="1"/>
  <c r="I6" i="1"/>
  <c r="H7" i="1"/>
  <c r="I8" i="1"/>
  <c r="I7" i="1"/>
  <c r="H10" i="1"/>
  <c r="I9" i="1"/>
  <c r="I11" i="1"/>
  <c r="J13" i="1"/>
  <c r="K13" i="1"/>
  <c r="M13" i="1"/>
  <c r="L13" i="1"/>
  <c r="N13" i="1"/>
  <c r="M26" i="1" l="1"/>
  <c r="N74" i="1"/>
  <c r="N26" i="1" l="1"/>
  <c r="M74" i="1"/>
  <c r="L74" i="1"/>
</calcChain>
</file>

<file path=xl/sharedStrings.xml><?xml version="1.0" encoding="utf-8"?>
<sst xmlns="http://schemas.openxmlformats.org/spreadsheetml/2006/main" count="120" uniqueCount="26">
  <si>
    <t>ASCENT</t>
  </si>
  <si>
    <t>SPLIT</t>
  </si>
  <si>
    <t>HAVEN</t>
  </si>
  <si>
    <t>PEARL</t>
  </si>
  <si>
    <t>LOTUS</t>
  </si>
  <si>
    <t>ICEBOX</t>
  </si>
  <si>
    <t>FRACTURE</t>
  </si>
  <si>
    <t>VICTORIAS</t>
  </si>
  <si>
    <t>DERROTAS</t>
  </si>
  <si>
    <t>MEJOR JUGADOR (ACS)</t>
  </si>
  <si>
    <t>XENKO</t>
  </si>
  <si>
    <t>REYES</t>
  </si>
  <si>
    <t>NANEGGE</t>
  </si>
  <si>
    <t>GLORIA</t>
  </si>
  <si>
    <t>DANI</t>
  </si>
  <si>
    <t>MEDIA PUNTUACIONES:</t>
  </si>
  <si>
    <t>% WR</t>
  </si>
  <si>
    <t>PEOR ACS</t>
  </si>
  <si>
    <r>
      <rPr>
        <b/>
        <sz val="11"/>
        <color theme="1"/>
        <rFont val="Aptos"/>
        <family val="2"/>
      </rPr>
      <t xml:space="preserve">COMPO:      </t>
    </r>
    <r>
      <rPr>
        <sz val="11"/>
        <color theme="1"/>
        <rFont val="Aptos"/>
        <family val="2"/>
      </rPr>
      <t>Xenko, Reyes, Nanegge, Gloria, Dani</t>
    </r>
  </si>
  <si>
    <t xml:space="preserve">                     MEDIA DE JUGADORES POR MAPA</t>
  </si>
  <si>
    <r>
      <rPr>
        <b/>
        <sz val="11"/>
        <color theme="1"/>
        <rFont val="Aptos"/>
        <family val="2"/>
      </rPr>
      <t xml:space="preserve">COMPO:     </t>
    </r>
    <r>
      <rPr>
        <sz val="11"/>
        <color theme="1"/>
        <rFont val="Aptos"/>
        <family val="2"/>
      </rPr>
      <t xml:space="preserve"> Rafa, Reyes, Nanegge, Gloria, Dani</t>
    </r>
  </si>
  <si>
    <r>
      <rPr>
        <b/>
        <sz val="11"/>
        <color theme="1"/>
        <rFont val="Aptos"/>
        <family val="2"/>
      </rPr>
      <t xml:space="preserve">COMPO:      </t>
    </r>
    <r>
      <rPr>
        <sz val="11"/>
        <color theme="1"/>
        <rFont val="Aptos"/>
        <family val="2"/>
      </rPr>
      <t>Xenko, Rafa, Nanegge, Gloria, Dani</t>
    </r>
  </si>
  <si>
    <r>
      <rPr>
        <b/>
        <sz val="11"/>
        <color theme="1"/>
        <rFont val="Aptos"/>
        <family val="2"/>
      </rPr>
      <t xml:space="preserve">COMPO:      </t>
    </r>
    <r>
      <rPr>
        <sz val="11"/>
        <color theme="1"/>
        <rFont val="Aptos"/>
        <family val="2"/>
      </rPr>
      <t>Xenko, Reyes, Rafa, Gloria, Dani</t>
    </r>
  </si>
  <si>
    <r>
      <rPr>
        <b/>
        <sz val="11"/>
        <color theme="1"/>
        <rFont val="Aptos"/>
        <family val="2"/>
      </rPr>
      <t xml:space="preserve">COMPO:      </t>
    </r>
    <r>
      <rPr>
        <sz val="11"/>
        <color theme="1"/>
        <rFont val="Aptos"/>
        <family val="2"/>
      </rPr>
      <t>Xenko, Reyes, Nanegge, Rafa, Dani</t>
    </r>
  </si>
  <si>
    <r>
      <rPr>
        <b/>
        <sz val="11"/>
        <color theme="1"/>
        <rFont val="Aptos"/>
        <family val="2"/>
      </rPr>
      <t xml:space="preserve">COMPO:      </t>
    </r>
    <r>
      <rPr>
        <sz val="11"/>
        <color theme="1"/>
        <rFont val="Aptos"/>
        <family val="2"/>
      </rPr>
      <t>Xenko, Reyes, Nanegge, Gloria, Rafa</t>
    </r>
  </si>
  <si>
    <t>RAFA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</si>
</sst>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&quot; %&quot;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7D7D"/>
        <bgColor indexed="64"/>
      </patternFill>
    </fill>
    <fill>
      <patternFill patternType="solid">
        <fgColor theme="6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Border="1"/>
    <xf numFmtId="0" fontId="0" fillId="8" borderId="2" xfId="0" applyFill="1" applyBorder="1"/>
    <xf numFmtId="0" fontId="0" fillId="8" borderId="3" xfId="0" applyFill="1" applyBorder="1"/>
    <xf numFmtId="0" fontId="3" fillId="8" borderId="1" xfId="0" applyFont="1" applyFill="1" applyBorder="1"/>
    <xf numFmtId="0" fontId="3" fillId="0" borderId="0" xfId="0" applyFont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7" xfId="0" applyFont="1" applyFill="1" applyBorder="1"/>
    <xf numFmtId="0" fontId="3" fillId="6" borderId="7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165" fontId="3" fillId="3" borderId="8" xfId="0" applyNumberFormat="1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2" fillId="2" borderId="18" xfId="0" applyFont="1" applyFill="1" applyBorder="1"/>
    <xf numFmtId="0" fontId="3" fillId="6" borderId="10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165" fontId="3" fillId="3" borderId="6" xfId="0" applyNumberFormat="1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2" fillId="2" borderId="4" xfId="0" applyFont="1" applyFill="1" applyBorder="1"/>
    <xf numFmtId="0" fontId="3" fillId="6" borderId="12" xfId="0" applyFont="1" applyFill="1" applyBorder="1" applyAlignment="1">
      <alignment horizontal="center"/>
    </xf>
    <xf numFmtId="0" fontId="3" fillId="7" borderId="13" xfId="0" applyFont="1" applyFill="1" applyBorder="1" applyAlignment="1">
      <alignment horizontal="center"/>
    </xf>
    <xf numFmtId="165" fontId="3" fillId="3" borderId="13" xfId="0" applyNumberFormat="1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0" borderId="0" xfId="0" applyFont="1"/>
    <xf numFmtId="0" fontId="3" fillId="4" borderId="4" xfId="0" applyFont="1" applyFill="1" applyBorder="1"/>
    <xf numFmtId="0" fontId="3" fillId="5" borderId="15" xfId="0" applyFont="1" applyFill="1" applyBorder="1"/>
    <xf numFmtId="0" fontId="3" fillId="5" borderId="16" xfId="0" applyFont="1" applyFill="1" applyBorder="1"/>
    <xf numFmtId="0" fontId="3" fillId="5" borderId="5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N74"/>
  <sheetViews>
    <sheetView tabSelected="1" workbookViewId="0">
      <selection activeCell="P10" sqref="P10"/>
    </sheetView>
  </sheetViews>
  <sheetFormatPr baseColWidth="10" defaultColWidth="8.85546875" defaultRowHeight="15" x14ac:dyDescent="0.25"/>
  <cols>
    <col min="2" max="2" width="9.7109375" customWidth="1"/>
    <col min="3" max="3" width="8.85546875" customWidth="1"/>
    <col min="4" max="4" width="12" customWidth="1"/>
    <col min="5" max="5" width="11" customWidth="1"/>
    <col min="6" max="6" width="11.28515625" customWidth="1"/>
    <col min="7" max="7" width="9.85546875" customWidth="1"/>
    <col min="8" max="8" width="18" customWidth="1"/>
    <col min="9" max="9" width="24.140625" customWidth="1"/>
    <col min="10" max="10" width="10.42578125" customWidth="1"/>
    <col min="11" max="11" width="9.5703125" customWidth="1"/>
    <col min="12" max="12" width="10.85546875" customWidth="1"/>
    <col min="13" max="13" width="9.5703125" customWidth="1"/>
    <col min="14" max="14" width="9.42578125" customWidth="1"/>
  </cols>
  <sheetData>
    <row r="2" spans="4:14" ht="15.75" thickBot="1" x14ac:dyDescent="0.3"/>
    <row r="3" spans="4:14" ht="15.75" thickBot="1" x14ac:dyDescent="0.3">
      <c r="G3" s="4" t="s">
        <v>18</v>
      </c>
      <c r="H3" s="2"/>
      <c r="I3" s="3"/>
      <c r="J3" s="1"/>
    </row>
    <row r="4" spans="4:14" ht="15.75" thickBot="1" x14ac:dyDescent="0.3">
      <c r="D4" s="1"/>
      <c r="J4" s="34" t="s">
        <v>19</v>
      </c>
      <c r="K4" s="32"/>
      <c r="L4" s="32"/>
      <c r="M4" s="32"/>
      <c r="N4" s="33"/>
    </row>
    <row r="5" spans="4:14" ht="15.75" thickBot="1" x14ac:dyDescent="0.3">
      <c r="D5" s="5"/>
      <c r="E5" s="6" t="s">
        <v>7</v>
      </c>
      <c r="F5" s="7" t="s">
        <v>8</v>
      </c>
      <c r="G5" s="7" t="s">
        <v>16</v>
      </c>
      <c r="H5" s="7" t="s">
        <v>17</v>
      </c>
      <c r="I5" s="7" t="s">
        <v>9</v>
      </c>
      <c r="J5" s="7" t="s">
        <v>10</v>
      </c>
      <c r="K5" s="7" t="s">
        <v>11</v>
      </c>
      <c r="L5" s="7" t="s">
        <v>12</v>
      </c>
      <c r="M5" s="7" t="s">
        <v>13</v>
      </c>
      <c r="N5" s="8" t="s">
        <v>14</v>
      </c>
    </row>
    <row r="6" spans="4:14" x14ac:dyDescent="0.25">
      <c r="D6" s="9" t="s">
        <v>1</v>
      </c>
      <c r="E6" s="10">
        <v>2</v>
      </c>
      <c r="F6" s="11">
        <v>0</v>
      </c>
      <c r="G6" s="12">
        <f>100 * E6 / (E6 + F6 )</f>
        <v>100</v>
      </c>
      <c r="H6" s="13" t="str">
        <f>ROUND(MIN(J6:N6), 3) &amp; " (" &amp; INDEX(J5:N5, MATCH(MIN(J6:N6), J6:N6, 0)) &amp; ")"</f>
        <v>186 (GLORIA)</v>
      </c>
      <c r="I6" s="13" t="str">
        <f>ROUND(MAX(J6:N6), 3) &amp; " (" &amp; INDEX(J5:N5, MATCH(MIN(J6:N6), J6:N6, 0)) &amp; ")"</f>
        <v>308,5 (GLORIA)</v>
      </c>
      <c r="J6" s="13">
        <f>(336 + 281) / (E6 + F6 )</f>
        <v>308.5</v>
      </c>
      <c r="K6" s="13">
        <f>(255 + 286) / (E6 + F6 )</f>
        <v>270.5</v>
      </c>
      <c r="L6" s="13">
        <f>(260 + 243) / (E6 + F6 )</f>
        <v>251.5</v>
      </c>
      <c r="M6" s="13">
        <f>(188 + 184) / (E6 + F6 )</f>
        <v>186</v>
      </c>
      <c r="N6" s="14">
        <f>(210 + 168) / (E6 + F6 )</f>
        <v>189</v>
      </c>
    </row>
    <row r="7" spans="4:14" x14ac:dyDescent="0.25">
      <c r="D7" s="15" t="s">
        <v>2</v>
      </c>
      <c r="E7" s="16">
        <v>2</v>
      </c>
      <c r="F7" s="17">
        <v>0</v>
      </c>
      <c r="G7" s="18">
        <f>100 * E7 / (F7 + E7)</f>
        <v>100</v>
      </c>
      <c r="H7" s="19" t="str">
        <f>ROUND(MIN(J7:N7), 3) &amp; " (" &amp; INDEX(J5:N5, MATCH(MIN(J7:N7), J7:N7, 0)) &amp; ")"</f>
        <v>135,5 (GLORIA)</v>
      </c>
      <c r="I7" s="19" t="str">
        <f>ROUND(MAX(J7:N7), 3) &amp; " (" &amp; INDEX(J5:N5, MATCH(MIN(J7:N7), J7:N7, 0)) &amp; ")"</f>
        <v>318 (GLORIA)</v>
      </c>
      <c r="J7" s="19">
        <f>(302 + 334) / (E7 + F7 )</f>
        <v>318</v>
      </c>
      <c r="K7" s="19">
        <f>(230 + 191) / (E7 + F7)</f>
        <v>210.5</v>
      </c>
      <c r="L7" s="19">
        <f>(299 + 261) / (E7 + F7 )</f>
        <v>280</v>
      </c>
      <c r="M7" s="19">
        <f>(109 + 162) / (E7 + F7 )</f>
        <v>135.5</v>
      </c>
      <c r="N7" s="20">
        <f>(179 + 172) / (E7 + F7 )</f>
        <v>175.5</v>
      </c>
    </row>
    <row r="8" spans="4:14" x14ac:dyDescent="0.25">
      <c r="D8" s="15" t="s">
        <v>3</v>
      </c>
      <c r="E8" s="16">
        <v>0</v>
      </c>
      <c r="F8" s="17">
        <v>2</v>
      </c>
      <c r="G8" s="18">
        <f xml:space="preserve"> 100 * E8 / (F8 + E8)</f>
        <v>0</v>
      </c>
      <c r="H8" s="19" t="str">
        <f>ROUND(MIN(J8:N8), 3) &amp; " (" &amp; INDEX(J5:N5, MATCH(MIN(J8:N8), J8:N8, 0)) &amp; ")"</f>
        <v>172 (GLORIA)</v>
      </c>
      <c r="I8" s="19" t="str">
        <f>ROUND(MAX(J8:N8), 3) &amp; " (" &amp; INDEX(J5:N5, MATCH(MIN(J8:N8), J8:N8, 0)) &amp; ")"</f>
        <v>202,5 (GLORIA)</v>
      </c>
      <c r="J8" s="19">
        <f>(194 + 211) / (E8 + F8 )</f>
        <v>202.5</v>
      </c>
      <c r="K8" s="19">
        <f>(195 + 173) / (E8 + F8 )</f>
        <v>184</v>
      </c>
      <c r="L8" s="19">
        <f>(168 + 231) / (E8 + F8)</f>
        <v>199.5</v>
      </c>
      <c r="M8" s="19">
        <f>(190 + 154) / (E8 + F8 )</f>
        <v>172</v>
      </c>
      <c r="N8" s="20">
        <f>(164 + 233) / (E8 + F8 )</f>
        <v>198.5</v>
      </c>
    </row>
    <row r="9" spans="4:14" x14ac:dyDescent="0.25">
      <c r="D9" s="15" t="s">
        <v>4</v>
      </c>
      <c r="E9" s="16">
        <v>0</v>
      </c>
      <c r="F9" s="17">
        <v>2</v>
      </c>
      <c r="G9" s="18">
        <f xml:space="preserve"> 100 * E9 / (F9 + E9)</f>
        <v>0</v>
      </c>
      <c r="H9" s="19" t="str">
        <f>ROUND(MIN(J9:N9), 3) &amp; " (" &amp; INDEX(J5:N5, MATCH(MIN(J9:N9), J9:N9, 0)) &amp; ")"</f>
        <v>195,5 (REYES)</v>
      </c>
      <c r="I9" s="19" t="str">
        <f>ROUND(MAX(J9:N9), 3) &amp; " (" &amp; INDEX(J5:N5, MATCH(MIN(J9:N9), J9:N9, 0)) &amp; ")"</f>
        <v>214 (REYES)</v>
      </c>
      <c r="J9" s="19">
        <f>(201 + 227) / (E9 + F9 )</f>
        <v>214</v>
      </c>
      <c r="K9" s="19">
        <f>(205 + 186) / (E9 + F9 )</f>
        <v>195.5</v>
      </c>
      <c r="L9" s="19">
        <f>(208 + 216) / (E9 + F9 )</f>
        <v>212</v>
      </c>
      <c r="M9" s="19">
        <f>(221 + 182) / (E9 + F9 )</f>
        <v>201.5</v>
      </c>
      <c r="N9" s="20">
        <f>(228 + 184) / (E9 + F9 )</f>
        <v>206</v>
      </c>
    </row>
    <row r="10" spans="4:14" x14ac:dyDescent="0.25">
      <c r="D10" s="15" t="s">
        <v>0</v>
      </c>
      <c r="E10" s="16">
        <v>3</v>
      </c>
      <c r="F10" s="17">
        <v>1</v>
      </c>
      <c r="G10" s="18">
        <f>100 * E10 / (F10 + E10)</f>
        <v>75</v>
      </c>
      <c r="H10" s="19" t="str">
        <f>ROUND(MIN(J10:N10), 3) &amp; " (" &amp; INDEX(J5:N5, MATCH(MIN(J10:N10), J10:N10, 0)) &amp; ")"</f>
        <v>183,5 (XENKO)</v>
      </c>
      <c r="I10" s="19" t="str">
        <f>ROUND(MAX(J10:N10), 3) &amp; " (" &amp; INDEX(J5:N5, MATCH(MIN(J10:N10), J10:N10, 0)) &amp; ")"</f>
        <v>242,25 (XENKO)</v>
      </c>
      <c r="J10" s="19">
        <f>(125 + 215 + 151 + 243) / (E10 + F10 )</f>
        <v>183.5</v>
      </c>
      <c r="K10" s="19">
        <f>(222 +261 + 258 + 205) / (E10 + F10 )</f>
        <v>236.5</v>
      </c>
      <c r="L10" s="19">
        <f>(170 + 186 + 275 + 218) / (E10 + F10 )</f>
        <v>212.25</v>
      </c>
      <c r="M10" s="19">
        <f>(235 + 192 + 253 + 87) / (E10 + F10 )</f>
        <v>191.75</v>
      </c>
      <c r="N10" s="20">
        <f>(269 + 190 + 227 + 283) / (E10 + F10 )</f>
        <v>242.25</v>
      </c>
    </row>
    <row r="11" spans="4:14" x14ac:dyDescent="0.25">
      <c r="D11" s="15" t="s">
        <v>5</v>
      </c>
      <c r="E11" s="16">
        <v>1</v>
      </c>
      <c r="F11" s="17">
        <v>0</v>
      </c>
      <c r="G11" s="18">
        <f>100 * E11 / (F11 + E11)</f>
        <v>100</v>
      </c>
      <c r="H11" s="19" t="str">
        <f>ROUND(MIN(J11:N11), 3) &amp; " (" &amp; INDEX(J5:N5, MATCH(MIN(J11:N11), J11:N11, 0)) &amp; ")"</f>
        <v>100 (XENKO)</v>
      </c>
      <c r="I11" s="19" t="str">
        <f>ROUND(MAX(J11:N11), 3) &amp; " (" &amp; INDEX(J5:N5, MATCH(MIN(J11:N11), J11:N11, 0)) &amp; ")"</f>
        <v>362 (XENKO)</v>
      </c>
      <c r="J11" s="19">
        <f>(100) / (E11+ F11 )</f>
        <v>100</v>
      </c>
      <c r="K11" s="19">
        <f>(362) / (E11 + F11 )</f>
        <v>362</v>
      </c>
      <c r="L11" s="19">
        <f>(214) / (E11 + F11 )</f>
        <v>214</v>
      </c>
      <c r="M11" s="19">
        <f>(285) / (E11 + F11 )</f>
        <v>285</v>
      </c>
      <c r="N11" s="20">
        <f>(271) / (E11 + F11 )</f>
        <v>271</v>
      </c>
    </row>
    <row r="12" spans="4:14" ht="15.75" thickBot="1" x14ac:dyDescent="0.3">
      <c r="D12" s="21" t="s">
        <v>6</v>
      </c>
      <c r="E12" s="22">
        <v>2</v>
      </c>
      <c r="F12" s="23">
        <v>1</v>
      </c>
      <c r="G12" s="24">
        <f>100 * E12 / (F12 + E12)</f>
        <v>66.666666666666671</v>
      </c>
      <c r="H12" s="25" t="str">
        <f>ROUND(MIN(J12:N12), 3) &amp; " (" &amp; INDEX(J5:N5, MATCH(MIN(J12:N12), J12:N12, 0)) &amp; ")"</f>
        <v>137,667 (GLORIA)</v>
      </c>
      <c r="I12" s="25" t="str">
        <f>ROUND(MAX(J12:N12), 3) &amp; " (" &amp; INDEX(J5:N5, MATCH(MIN(J12:N12), J12:N12, 0)) &amp; ")"</f>
        <v>294,667 (GLORIA)</v>
      </c>
      <c r="J12" s="25">
        <f>(221 + 277 + 386) / (E12 + F12 )</f>
        <v>294.66666666666669</v>
      </c>
      <c r="K12" s="25">
        <f>(251 + 184 + 193) / (E12 + F12 )</f>
        <v>209.33333333333334</v>
      </c>
      <c r="L12" s="25">
        <f>(303 + 175 + 191)  / (E12 + F12 )</f>
        <v>223</v>
      </c>
      <c r="M12" s="25">
        <f>(148 + 176 + 89) / (E12 + F12 )</f>
        <v>137.66666666666666</v>
      </c>
      <c r="N12" s="26">
        <f>(186 + 204 + 154) / (E12 + F12 )</f>
        <v>181.33333333333334</v>
      </c>
    </row>
    <row r="13" spans="4:14" ht="15.75" thickBot="1" x14ac:dyDescent="0.3">
      <c r="D13" s="27"/>
      <c r="E13" s="27"/>
      <c r="F13" s="27"/>
      <c r="G13" s="27"/>
      <c r="H13" s="27"/>
      <c r="I13" s="28" t="s">
        <v>15</v>
      </c>
      <c r="J13" s="29">
        <f>(J6 + J7 + J8 + J9 + J10 + J11 + J12)  / (7)</f>
        <v>231.5952380952381</v>
      </c>
      <c r="K13" s="30">
        <f t="shared" ref="K13:M13" si="0">(K6 + K7 + K8 + K9 + K10 + K11 + K12)  / (7)</f>
        <v>238.33333333333331</v>
      </c>
      <c r="L13" s="30">
        <f t="shared" si="0"/>
        <v>227.46428571428572</v>
      </c>
      <c r="M13" s="30">
        <f t="shared" si="0"/>
        <v>187.05952380952382</v>
      </c>
      <c r="N13" s="31">
        <f>(N6 + N7 + N8 + N9 + N10 + N11 + N12)  / (7)</f>
        <v>209.08333333333331</v>
      </c>
    </row>
    <row r="15" spans="4:14" ht="15.75" thickBot="1" x14ac:dyDescent="0.3"/>
    <row r="16" spans="4:14" ht="15.75" thickBot="1" x14ac:dyDescent="0.3">
      <c r="G16" s="4" t="s">
        <v>20</v>
      </c>
      <c r="H16" s="2"/>
      <c r="I16" s="3"/>
      <c r="J16" s="1"/>
    </row>
    <row r="17" spans="4:14" ht="15.75" thickBot="1" x14ac:dyDescent="0.3">
      <c r="D17" s="1"/>
      <c r="J17" s="34" t="s">
        <v>19</v>
      </c>
      <c r="K17" s="32"/>
      <c r="L17" s="32"/>
      <c r="M17" s="32"/>
      <c r="N17" s="33"/>
    </row>
    <row r="18" spans="4:14" ht="15.75" thickBot="1" x14ac:dyDescent="0.3">
      <c r="D18" s="5"/>
      <c r="E18" s="6" t="s">
        <v>7</v>
      </c>
      <c r="F18" s="7" t="s">
        <v>8</v>
      </c>
      <c r="G18" s="7" t="s">
        <v>16</v>
      </c>
      <c r="H18" s="7" t="s">
        <v>17</v>
      </c>
      <c r="I18" s="7" t="s">
        <v>9</v>
      </c>
      <c r="J18" s="7" t="s">
        <v>25</v>
      </c>
      <c r="K18" s="7" t="s">
        <v>11</v>
      </c>
      <c r="L18" s="7" t="s">
        <v>12</v>
      </c>
      <c r="M18" s="7" t="s">
        <v>13</v>
      </c>
      <c r="N18" s="8" t="s">
        <v>14</v>
      </c>
    </row>
    <row r="19" spans="4:14" x14ac:dyDescent="0.25">
      <c r="D19" s="9" t="s">
        <v>1</v>
      </c>
      <c r="E19" s="10">
        <v>0</v>
      </c>
      <c r="F19" s="11">
        <v>0</v>
      </c>
      <c r="G19" s="12" t="e">
        <f>100 * E19 / (E19 + F19 )</f>
        <v>#DIV/0!</v>
      </c>
      <c r="H19" s="13" t="e">
        <f>ROUND(MIN(J19:N19), 3) &amp; " (" &amp; INDEX(J18:N18, MATCH(MIN(J19:N19), J19:N19, 0)) &amp; ")"</f>
        <v>#DIV/0!</v>
      </c>
      <c r="I19" s="13" t="e">
        <f>ROUND(MAX(J19:N19), 3) &amp; " (" &amp; INDEX(J18:N18, MATCH(MIN(J19:N19), J19:N19, 0)) &amp; ")"</f>
        <v>#DIV/0!</v>
      </c>
      <c r="J19" s="13" t="e">
        <f>(0) / (E19 + F19 )</f>
        <v>#DIV/0!</v>
      </c>
      <c r="K19" s="13" t="e">
        <f>(0) / (E19 + F19 )</f>
        <v>#DIV/0!</v>
      </c>
      <c r="L19" s="13" t="e">
        <f>(0) / (E19 + F19 )</f>
        <v>#DIV/0!</v>
      </c>
      <c r="M19" s="13" t="e">
        <f>(0) / (E19 + F19 )</f>
        <v>#DIV/0!</v>
      </c>
      <c r="N19" s="13" t="e">
        <f>(0) / (E19 + F19 )</f>
        <v>#DIV/0!</v>
      </c>
    </row>
    <row r="20" spans="4:14" ht="15.75" thickBot="1" x14ac:dyDescent="0.3">
      <c r="D20" s="15" t="s">
        <v>2</v>
      </c>
      <c r="E20" s="16">
        <v>0</v>
      </c>
      <c r="F20" s="17">
        <v>0</v>
      </c>
      <c r="G20" s="18" t="e">
        <f>100 * E20 / (F20 + E20)</f>
        <v>#DIV/0!</v>
      </c>
      <c r="H20" s="19" t="e">
        <f>ROUND(MIN(J20:N20), 3) &amp; " (" &amp; INDEX(J18:N18, MATCH(MIN(J20:N20), J20:N20, 0)) &amp; ")"</f>
        <v>#DIV/0!</v>
      </c>
      <c r="I20" s="19" t="e">
        <f>ROUND(MAX(J20:N20), 3) &amp; " (" &amp; INDEX(J18:N18, MATCH(MIN(J20:N20), J20:N20, 0)) &amp; ")"</f>
        <v>#DIV/0!</v>
      </c>
      <c r="J20" s="19" t="e">
        <f>(0) / (E20 + F20 )</f>
        <v>#DIV/0!</v>
      </c>
      <c r="K20" s="19" t="e">
        <f>(0) / (E20 + F20)</f>
        <v>#DIV/0!</v>
      </c>
      <c r="L20" s="19" t="e">
        <f>(0) / (E20 + F20 )</f>
        <v>#DIV/0!</v>
      </c>
      <c r="M20" s="19" t="e">
        <f>(0) / (E20 + F20 )</f>
        <v>#DIV/0!</v>
      </c>
      <c r="N20" s="19" t="e">
        <f>(0) / (E20 + F20)</f>
        <v>#DIV/0!</v>
      </c>
    </row>
    <row r="21" spans="4:14" x14ac:dyDescent="0.25">
      <c r="D21" s="15" t="s">
        <v>3</v>
      </c>
      <c r="E21" s="16">
        <v>0</v>
      </c>
      <c r="F21" s="17">
        <v>0</v>
      </c>
      <c r="G21" s="18" t="e">
        <f xml:space="preserve"> 100 * E21 / (F21 + E21)</f>
        <v>#DIV/0!</v>
      </c>
      <c r="H21" s="19" t="e">
        <f>ROUND(MIN(J21:N21), 3) &amp; " (" &amp; INDEX(J18:N18, MATCH(MIN(J21:N21), J21:N21, 0)) &amp; ")"</f>
        <v>#DIV/0!</v>
      </c>
      <c r="I21" s="19" t="e">
        <f>ROUND(MAX(J21:N21), 3) &amp; " (" &amp; INDEX(J18:N18, MATCH(MIN(J21:N21), J21:N21, 0)) &amp; ")"</f>
        <v>#DIV/0!</v>
      </c>
      <c r="J21" s="13" t="e">
        <f t="shared" ref="J21:J25" si="1">(0) / (E21 + F21 )</f>
        <v>#DIV/0!</v>
      </c>
      <c r="K21" s="13" t="e">
        <f t="shared" ref="K21:K25" si="2">(0) / (E21 + F21 )</f>
        <v>#DIV/0!</v>
      </c>
      <c r="L21" s="13" t="e">
        <f t="shared" ref="L21:L25" si="3">(0) / (E21 + F21 )</f>
        <v>#DIV/0!</v>
      </c>
      <c r="M21" s="13" t="e">
        <f t="shared" ref="M21:M25" si="4">(0) / (E21 + F21 )</f>
        <v>#DIV/0!</v>
      </c>
      <c r="N21" s="13" t="e">
        <f t="shared" ref="N21:N25" si="5">(0) / (E21 + F21 )</f>
        <v>#DIV/0!</v>
      </c>
    </row>
    <row r="22" spans="4:14" ht="15.75" thickBot="1" x14ac:dyDescent="0.3">
      <c r="D22" s="15" t="s">
        <v>4</v>
      </c>
      <c r="E22" s="16">
        <v>0</v>
      </c>
      <c r="F22" s="17">
        <v>0</v>
      </c>
      <c r="G22" s="18" t="e">
        <f xml:space="preserve"> 100 * E22 / (F22 + E22)</f>
        <v>#DIV/0!</v>
      </c>
      <c r="H22" s="19" t="e">
        <f>ROUND(MIN(J22:N22), 3) &amp; " (" &amp; INDEX(J18:N18, MATCH(MIN(J22:N22), J22:N22, 0)) &amp; ")"</f>
        <v>#DIV/0!</v>
      </c>
      <c r="I22" s="19" t="e">
        <f>ROUND(MAX(J22:N22), 3) &amp; " (" &amp; INDEX(J18:N18, MATCH(MIN(J22:N22), J22:N22, 0)) &amp; ")"</f>
        <v>#DIV/0!</v>
      </c>
      <c r="J22" s="19" t="e">
        <f t="shared" si="1"/>
        <v>#DIV/0!</v>
      </c>
      <c r="K22" s="19" t="e">
        <f t="shared" ref="K22:K25" si="6">(0) / (E22 + F22)</f>
        <v>#DIV/0!</v>
      </c>
      <c r="L22" s="19" t="e">
        <f t="shared" si="3"/>
        <v>#DIV/0!</v>
      </c>
      <c r="M22" s="19" t="e">
        <f t="shared" si="4"/>
        <v>#DIV/0!</v>
      </c>
      <c r="N22" s="19" t="e">
        <f t="shared" ref="N22:N25" si="7">(0) / (E22 + F22)</f>
        <v>#DIV/0!</v>
      </c>
    </row>
    <row r="23" spans="4:14" x14ac:dyDescent="0.25">
      <c r="D23" s="15" t="s">
        <v>0</v>
      </c>
      <c r="E23" s="16">
        <v>0</v>
      </c>
      <c r="F23" s="17">
        <v>0</v>
      </c>
      <c r="G23" s="18" t="e">
        <f>100 * E23 / (F23 + E23)</f>
        <v>#DIV/0!</v>
      </c>
      <c r="H23" s="19" t="e">
        <f>ROUND(MIN(J23:N23), 3) &amp; " (" &amp; INDEX(J18:N18, MATCH(MIN(J23:N23), J23:N23, 0)) &amp; ")"</f>
        <v>#DIV/0!</v>
      </c>
      <c r="I23" s="19" t="e">
        <f>ROUND(MAX(J23:N23), 3) &amp; " (" &amp; INDEX(J18:N18, MATCH(MIN(J23:N23), J23:N23, 0)) &amp; ")"</f>
        <v>#DIV/0!</v>
      </c>
      <c r="J23" s="13" t="e">
        <f t="shared" si="1"/>
        <v>#DIV/0!</v>
      </c>
      <c r="K23" s="13" t="e">
        <f t="shared" ref="K23:K25" si="8">(0) / (E23 + F23 )</f>
        <v>#DIV/0!</v>
      </c>
      <c r="L23" s="13" t="e">
        <f t="shared" si="3"/>
        <v>#DIV/0!</v>
      </c>
      <c r="M23" s="13" t="e">
        <f t="shared" si="4"/>
        <v>#DIV/0!</v>
      </c>
      <c r="N23" s="13" t="e">
        <f t="shared" ref="N23:N25" si="9">(0) / (E23 + F23 )</f>
        <v>#DIV/0!</v>
      </c>
    </row>
    <row r="24" spans="4:14" ht="15.75" thickBot="1" x14ac:dyDescent="0.3">
      <c r="D24" s="15" t="s">
        <v>5</v>
      </c>
      <c r="E24" s="16">
        <v>0</v>
      </c>
      <c r="F24" s="17">
        <v>0</v>
      </c>
      <c r="G24" s="18" t="e">
        <f>100 * E24 / (F24 + E24)</f>
        <v>#DIV/0!</v>
      </c>
      <c r="H24" s="19" t="e">
        <f>ROUND(MIN(J24:N24), 3) &amp; " (" &amp; INDEX(J18:N18, MATCH(MIN(J24:N24), J24:N24, 0)) &amp; ")"</f>
        <v>#DIV/0!</v>
      </c>
      <c r="I24" s="19" t="e">
        <f>ROUND(MAX(J24:N24), 3) &amp; " (" &amp; INDEX(J18:N18, MATCH(MIN(J24:N24), J24:N24, 0)) &amp; ")"</f>
        <v>#DIV/0!</v>
      </c>
      <c r="J24" s="19" t="e">
        <f t="shared" si="1"/>
        <v>#DIV/0!</v>
      </c>
      <c r="K24" s="19" t="e">
        <f t="shared" ref="K24:K25" si="10">(0) / (E24 + F24)</f>
        <v>#DIV/0!</v>
      </c>
      <c r="L24" s="19" t="e">
        <f t="shared" si="3"/>
        <v>#DIV/0!</v>
      </c>
      <c r="M24" s="19" t="e">
        <f t="shared" si="4"/>
        <v>#DIV/0!</v>
      </c>
      <c r="N24" s="19" t="e">
        <f t="shared" ref="N24:N25" si="11">(0) / (E24 + F24)</f>
        <v>#DIV/0!</v>
      </c>
    </row>
    <row r="25" spans="4:14" ht="15.75" thickBot="1" x14ac:dyDescent="0.3">
      <c r="D25" s="21" t="s">
        <v>6</v>
      </c>
      <c r="E25" s="22">
        <v>0</v>
      </c>
      <c r="F25" s="23">
        <v>0</v>
      </c>
      <c r="G25" s="24" t="e">
        <f>100 * E25 / (F25 + E25)</f>
        <v>#DIV/0!</v>
      </c>
      <c r="H25" s="25" t="e">
        <f>ROUND(MIN(J25:N25), 3) &amp; " (" &amp; INDEX(J18:N18, MATCH(MIN(J25:N25), J25:N25, 0)) &amp; ")"</f>
        <v>#DIV/0!</v>
      </c>
      <c r="I25" s="25" t="e">
        <f>ROUND(MAX(J25:N25), 3) &amp; " (" &amp; INDEX(J18:N18, MATCH(MIN(J25:N25), J25:N25, 0)) &amp; ")"</f>
        <v>#DIV/0!</v>
      </c>
      <c r="J25" s="13" t="e">
        <f t="shared" si="1"/>
        <v>#DIV/0!</v>
      </c>
      <c r="K25" s="13" t="e">
        <f t="shared" ref="K25" si="12">(0) / (E25 + F25 )</f>
        <v>#DIV/0!</v>
      </c>
      <c r="L25" s="13" t="e">
        <f t="shared" si="3"/>
        <v>#DIV/0!</v>
      </c>
      <c r="M25" s="13" t="e">
        <f t="shared" si="4"/>
        <v>#DIV/0!</v>
      </c>
      <c r="N25" s="13" t="e">
        <f t="shared" ref="N25" si="13">(0) / (E25 + F25 )</f>
        <v>#DIV/0!</v>
      </c>
    </row>
    <row r="26" spans="4:14" ht="15.75" thickBot="1" x14ac:dyDescent="0.3">
      <c r="D26" s="27"/>
      <c r="E26" s="27"/>
      <c r="F26" s="27"/>
      <c r="G26" s="27"/>
      <c r="H26" s="27"/>
      <c r="I26" s="28" t="s">
        <v>15</v>
      </c>
      <c r="J26" s="29" t="e">
        <f>(J19 + J20 + J21 + J22 + J23 + J24 + J25)  / (7)</f>
        <v>#DIV/0!</v>
      </c>
      <c r="K26" s="30" t="e">
        <f t="shared" ref="K26:M26" si="14">(K19 + K20 + K21 + K22 + K23 + K24 + K25)  / (7)</f>
        <v>#DIV/0!</v>
      </c>
      <c r="L26" s="30" t="e">
        <f t="shared" si="14"/>
        <v>#DIV/0!</v>
      </c>
      <c r="M26" s="30" t="e">
        <f t="shared" si="14"/>
        <v>#DIV/0!</v>
      </c>
      <c r="N26" s="31" t="e">
        <f>(N19 + N20 + N21 + N22 + N23 + N24 + N25)  / (7)</f>
        <v>#DIV/0!</v>
      </c>
    </row>
    <row r="27" spans="4:14" ht="15.75" thickBot="1" x14ac:dyDescent="0.3"/>
    <row r="28" spans="4:14" ht="15.75" thickBot="1" x14ac:dyDescent="0.3">
      <c r="G28" s="4" t="s">
        <v>21</v>
      </c>
      <c r="H28" s="2"/>
      <c r="I28" s="3"/>
      <c r="J28" s="1"/>
    </row>
    <row r="29" spans="4:14" ht="15.75" thickBot="1" x14ac:dyDescent="0.3">
      <c r="D29" s="1"/>
      <c r="J29" s="34" t="s">
        <v>19</v>
      </c>
      <c r="K29" s="32"/>
      <c r="L29" s="32"/>
      <c r="M29" s="32"/>
      <c r="N29" s="33"/>
    </row>
    <row r="30" spans="4:14" ht="15.75" thickBot="1" x14ac:dyDescent="0.3">
      <c r="D30" s="5"/>
      <c r="E30" s="6" t="s">
        <v>7</v>
      </c>
      <c r="F30" s="7" t="s">
        <v>8</v>
      </c>
      <c r="G30" s="7" t="s">
        <v>16</v>
      </c>
      <c r="H30" s="7" t="s">
        <v>17</v>
      </c>
      <c r="I30" s="7" t="s">
        <v>9</v>
      </c>
      <c r="J30" s="7" t="s">
        <v>10</v>
      </c>
      <c r="K30" s="7" t="s">
        <v>25</v>
      </c>
      <c r="L30" s="7" t="s">
        <v>12</v>
      </c>
      <c r="M30" s="7" t="s">
        <v>13</v>
      </c>
      <c r="N30" s="8" t="s">
        <v>14</v>
      </c>
    </row>
    <row r="31" spans="4:14" ht="15.75" thickBot="1" x14ac:dyDescent="0.3">
      <c r="D31" s="9" t="s">
        <v>1</v>
      </c>
      <c r="E31" s="10">
        <v>0</v>
      </c>
      <c r="F31" s="11">
        <v>0</v>
      </c>
      <c r="G31" s="12" t="e">
        <f>100 * E31 / (E31 + F31 )</f>
        <v>#DIV/0!</v>
      </c>
      <c r="H31" s="13" t="e">
        <f>ROUND(MIN(J31:N31), 3) &amp; " (" &amp; INDEX(J30:N30, MATCH(MIN(J31:N31), J31:N31, 0)) &amp; ")"</f>
        <v>#DIV/0!</v>
      </c>
      <c r="I31" s="13" t="e">
        <f>ROUND(MAX(J31:N31), 3) &amp; " (" &amp; INDEX(J30:N30, MATCH(MIN(J31:N31), J31:N31, 0)) &amp; ")"</f>
        <v>#DIV/0!</v>
      </c>
      <c r="J31" s="13" t="e">
        <f>(0) / (E31 + F31 )</f>
        <v>#DIV/0!</v>
      </c>
      <c r="K31" s="13" t="e">
        <f>(0) / (E31 + F31 )</f>
        <v>#DIV/0!</v>
      </c>
      <c r="L31" s="13" t="e">
        <f>(0) / (E31 + F31 )</f>
        <v>#DIV/0!</v>
      </c>
      <c r="M31" s="13" t="e">
        <f>(0) / (E31 + F31 )</f>
        <v>#DIV/0!</v>
      </c>
      <c r="N31" s="14" t="e">
        <f>(0) / (E31 + F31 )</f>
        <v>#DIV/0!</v>
      </c>
    </row>
    <row r="32" spans="4:14" ht="15.75" thickBot="1" x14ac:dyDescent="0.3">
      <c r="D32" s="15" t="s">
        <v>2</v>
      </c>
      <c r="E32" s="16">
        <v>0</v>
      </c>
      <c r="F32" s="17">
        <v>0</v>
      </c>
      <c r="G32" s="18" t="e">
        <f>100 * E32 / (F32 + E32)</f>
        <v>#DIV/0!</v>
      </c>
      <c r="H32" s="19" t="e">
        <f>ROUND(MIN(J32:N32), 3) &amp; " (" &amp; INDEX(J30:N30, MATCH(MIN(J32:N32), J32:N32, 0)) &amp; ")"</f>
        <v>#DIV/0!</v>
      </c>
      <c r="I32" s="19" t="e">
        <f>ROUND(MAX(J32:N32), 3) &amp; " (" &amp; INDEX(J30:N30, MATCH(MIN(J32:N32), J32:N32, 0)) &amp; ")"</f>
        <v>#DIV/0!</v>
      </c>
      <c r="J32" s="13" t="e">
        <f t="shared" ref="J32:J37" si="15">(0) / (E32 + F32 )</f>
        <v>#DIV/0!</v>
      </c>
      <c r="K32" s="13" t="e">
        <f t="shared" ref="K32:K37" si="16">(0) / (E32 + F32 )</f>
        <v>#DIV/0!</v>
      </c>
      <c r="L32" s="13" t="e">
        <f t="shared" ref="L32:L37" si="17">(0) / (E32 + F32 )</f>
        <v>#DIV/0!</v>
      </c>
      <c r="M32" s="13" t="e">
        <f t="shared" ref="M32:M37" si="18">(0) / (E32 + F32 )</f>
        <v>#DIV/0!</v>
      </c>
      <c r="N32" s="14" t="e">
        <f t="shared" ref="N32:N37" si="19">(0) / (E32 + F32 )</f>
        <v>#DIV/0!</v>
      </c>
    </row>
    <row r="33" spans="4:14" ht="15.75" thickBot="1" x14ac:dyDescent="0.3">
      <c r="D33" s="15" t="s">
        <v>3</v>
      </c>
      <c r="E33" s="16">
        <v>0</v>
      </c>
      <c r="F33" s="17">
        <v>0</v>
      </c>
      <c r="G33" s="18" t="e">
        <f xml:space="preserve"> 100 * E33 / (F33 + E33)</f>
        <v>#DIV/0!</v>
      </c>
      <c r="H33" s="19" t="e">
        <f>ROUND(MIN(J33:N33), 3) &amp; " (" &amp; INDEX(J30:N30, MATCH(MIN(J33:N33), J33:N33, 0)) &amp; ")"</f>
        <v>#DIV/0!</v>
      </c>
      <c r="I33" s="19" t="e">
        <f>ROUND(MAX(J33:N33), 3) &amp; " (" &amp; INDEX(J30:N30, MATCH(MIN(J33:N33), J33:N33, 0)) &amp; ")"</f>
        <v>#DIV/0!</v>
      </c>
      <c r="J33" s="13" t="e">
        <f t="shared" si="15"/>
        <v>#DIV/0!</v>
      </c>
      <c r="K33" s="13" t="e">
        <f t="shared" si="16"/>
        <v>#DIV/0!</v>
      </c>
      <c r="L33" s="13" t="e">
        <f t="shared" si="17"/>
        <v>#DIV/0!</v>
      </c>
      <c r="M33" s="13" t="e">
        <f t="shared" si="18"/>
        <v>#DIV/0!</v>
      </c>
      <c r="N33" s="14" t="e">
        <f t="shared" si="19"/>
        <v>#DIV/0!</v>
      </c>
    </row>
    <row r="34" spans="4:14" ht="15.75" thickBot="1" x14ac:dyDescent="0.3">
      <c r="D34" s="15" t="s">
        <v>4</v>
      </c>
      <c r="E34" s="16">
        <v>0</v>
      </c>
      <c r="F34" s="17">
        <v>0</v>
      </c>
      <c r="G34" s="18" t="e">
        <f xml:space="preserve"> 100 * E34 / (F34 + E34)</f>
        <v>#DIV/0!</v>
      </c>
      <c r="H34" s="19" t="e">
        <f>ROUND(MIN(J34:N34), 3) &amp; " (" &amp; INDEX(J30:N30, MATCH(MIN(J34:N34), J34:N34, 0)) &amp; ")"</f>
        <v>#DIV/0!</v>
      </c>
      <c r="I34" s="19" t="e">
        <f>ROUND(MAX(J34:N34), 3) &amp; " (" &amp; INDEX(J30:N30, MATCH(MIN(J34:N34), J34:N34, 0)) &amp; ")"</f>
        <v>#DIV/0!</v>
      </c>
      <c r="J34" s="13" t="e">
        <f t="shared" si="15"/>
        <v>#DIV/0!</v>
      </c>
      <c r="K34" s="13" t="e">
        <f t="shared" si="16"/>
        <v>#DIV/0!</v>
      </c>
      <c r="L34" s="13" t="e">
        <f t="shared" si="17"/>
        <v>#DIV/0!</v>
      </c>
      <c r="M34" s="13" t="e">
        <f t="shared" si="18"/>
        <v>#DIV/0!</v>
      </c>
      <c r="N34" s="14" t="e">
        <f t="shared" si="19"/>
        <v>#DIV/0!</v>
      </c>
    </row>
    <row r="35" spans="4:14" ht="15.75" thickBot="1" x14ac:dyDescent="0.3">
      <c r="D35" s="15" t="s">
        <v>0</v>
      </c>
      <c r="E35" s="16">
        <v>0</v>
      </c>
      <c r="F35" s="17">
        <v>0</v>
      </c>
      <c r="G35" s="18" t="e">
        <f>100 * E35 / (F35 + E35)</f>
        <v>#DIV/0!</v>
      </c>
      <c r="H35" s="19" t="e">
        <f>ROUND(MIN(J35:N35), 3) &amp; " (" &amp; INDEX(J30:N30, MATCH(MIN(J35:N35), J35:N35, 0)) &amp; ")"</f>
        <v>#DIV/0!</v>
      </c>
      <c r="I35" s="19" t="e">
        <f>ROUND(MAX(J35:N35), 3) &amp; " (" &amp; INDEX(J30:N30, MATCH(MIN(J35:N35), J35:N35, 0)) &amp; ")"</f>
        <v>#DIV/0!</v>
      </c>
      <c r="J35" s="13" t="e">
        <f t="shared" si="15"/>
        <v>#DIV/0!</v>
      </c>
      <c r="K35" s="13" t="e">
        <f t="shared" si="16"/>
        <v>#DIV/0!</v>
      </c>
      <c r="L35" s="13" t="e">
        <f t="shared" si="17"/>
        <v>#DIV/0!</v>
      </c>
      <c r="M35" s="13" t="e">
        <f t="shared" si="18"/>
        <v>#DIV/0!</v>
      </c>
      <c r="N35" s="14" t="e">
        <f t="shared" si="19"/>
        <v>#DIV/0!</v>
      </c>
    </row>
    <row r="36" spans="4:14" ht="15.75" thickBot="1" x14ac:dyDescent="0.3">
      <c r="D36" s="15" t="s">
        <v>5</v>
      </c>
      <c r="E36" s="16">
        <v>0</v>
      </c>
      <c r="F36" s="17">
        <v>0</v>
      </c>
      <c r="G36" s="18" t="e">
        <f>100 * E36 / (F36 + E36)</f>
        <v>#DIV/0!</v>
      </c>
      <c r="H36" s="19" t="e">
        <f>ROUND(MIN(J36:N36), 3) &amp; " (" &amp; INDEX(J30:N30, MATCH(MIN(J36:N36), J36:N36, 0)) &amp; ")"</f>
        <v>#DIV/0!</v>
      </c>
      <c r="I36" s="19" t="e">
        <f>ROUND(MAX(J36:N36), 3) &amp; " (" &amp; INDEX(J30:N30, MATCH(MIN(J36:N36), J36:N36, 0)) &amp; ")"</f>
        <v>#DIV/0!</v>
      </c>
      <c r="J36" s="13" t="e">
        <f t="shared" si="15"/>
        <v>#DIV/0!</v>
      </c>
      <c r="K36" s="13" t="e">
        <f t="shared" si="16"/>
        <v>#DIV/0!</v>
      </c>
      <c r="L36" s="13" t="e">
        <f t="shared" si="17"/>
        <v>#DIV/0!</v>
      </c>
      <c r="M36" s="13" t="e">
        <f t="shared" si="18"/>
        <v>#DIV/0!</v>
      </c>
      <c r="N36" s="14" t="e">
        <f t="shared" si="19"/>
        <v>#DIV/0!</v>
      </c>
    </row>
    <row r="37" spans="4:14" ht="15.75" thickBot="1" x14ac:dyDescent="0.3">
      <c r="D37" s="21" t="s">
        <v>6</v>
      </c>
      <c r="E37" s="22">
        <v>0</v>
      </c>
      <c r="F37" s="23">
        <v>0</v>
      </c>
      <c r="G37" s="24" t="e">
        <f>100 * E37 / (F37 + E37)</f>
        <v>#DIV/0!</v>
      </c>
      <c r="H37" s="25" t="e">
        <f>ROUND(MIN(J37:N37), 3) &amp; " (" &amp; INDEX(J30:N30, MATCH(MIN(J37:N37), J37:N37, 0)) &amp; ")"</f>
        <v>#DIV/0!</v>
      </c>
      <c r="I37" s="25" t="e">
        <f>ROUND(MAX(J37:N37), 3) &amp; " (" &amp; INDEX(J30:N30, MATCH(MIN(J37:N37), J37:N37, 0)) &amp; ")"</f>
        <v>#DIV/0!</v>
      </c>
      <c r="J37" s="13" t="e">
        <f t="shared" si="15"/>
        <v>#DIV/0!</v>
      </c>
      <c r="K37" s="13" t="e">
        <f t="shared" si="16"/>
        <v>#DIV/0!</v>
      </c>
      <c r="L37" s="13" t="e">
        <f t="shared" si="17"/>
        <v>#DIV/0!</v>
      </c>
      <c r="M37" s="13" t="e">
        <f t="shared" si="18"/>
        <v>#DIV/0!</v>
      </c>
      <c r="N37" s="14" t="e">
        <f t="shared" si="19"/>
        <v>#DIV/0!</v>
      </c>
    </row>
    <row r="38" spans="4:14" ht="15.75" thickBot="1" x14ac:dyDescent="0.3">
      <c r="D38" s="27"/>
      <c r="E38" s="27"/>
      <c r="F38" s="27"/>
      <c r="G38" s="27"/>
      <c r="H38" s="27"/>
      <c r="I38" s="28" t="s">
        <v>15</v>
      </c>
      <c r="J38" s="29" t="e">
        <f>(J31 + J32 + J33 + J34 + J35 + J36 + J37)  / (7)</f>
        <v>#DIV/0!</v>
      </c>
      <c r="K38" s="30" t="e">
        <f t="shared" ref="K38:M38" si="20">(K31 + K32 + K33 + K34 + K35 + K36 + K37)  / (7)</f>
        <v>#DIV/0!</v>
      </c>
      <c r="L38" s="30" t="e">
        <f t="shared" si="20"/>
        <v>#DIV/0!</v>
      </c>
      <c r="M38" s="30" t="e">
        <f t="shared" si="20"/>
        <v>#DIV/0!</v>
      </c>
      <c r="N38" s="31" t="e">
        <f>(N31 + N32 + N33 + N34 + N35 + N36 + N37)  / (7)</f>
        <v>#DIV/0!</v>
      </c>
    </row>
    <row r="39" spans="4:14" ht="15.75" thickBot="1" x14ac:dyDescent="0.3"/>
    <row r="40" spans="4:14" ht="15.75" thickBot="1" x14ac:dyDescent="0.3">
      <c r="G40" s="4" t="s">
        <v>22</v>
      </c>
      <c r="H40" s="2"/>
      <c r="I40" s="3"/>
      <c r="J40" s="1"/>
    </row>
    <row r="41" spans="4:14" ht="15.75" thickBot="1" x14ac:dyDescent="0.3">
      <c r="D41" s="1"/>
      <c r="J41" s="34" t="s">
        <v>19</v>
      </c>
      <c r="K41" s="32"/>
      <c r="L41" s="32"/>
      <c r="M41" s="32"/>
      <c r="N41" s="33"/>
    </row>
    <row r="42" spans="4:14" ht="15.75" thickBot="1" x14ac:dyDescent="0.3">
      <c r="D42" s="5"/>
      <c r="E42" s="6" t="s">
        <v>7</v>
      </c>
      <c r="F42" s="7" t="s">
        <v>8</v>
      </c>
      <c r="G42" s="7" t="s">
        <v>16</v>
      </c>
      <c r="H42" s="7" t="s">
        <v>17</v>
      </c>
      <c r="I42" s="7" t="s">
        <v>9</v>
      </c>
      <c r="J42" s="7" t="s">
        <v>10</v>
      </c>
      <c r="K42" s="7" t="s">
        <v>11</v>
      </c>
      <c r="L42" s="7" t="s">
        <v>25</v>
      </c>
      <c r="M42" s="7" t="s">
        <v>13</v>
      </c>
      <c r="N42" s="8" t="s">
        <v>14</v>
      </c>
    </row>
    <row r="43" spans="4:14" ht="15.75" thickBot="1" x14ac:dyDescent="0.3">
      <c r="D43" s="9" t="s">
        <v>1</v>
      </c>
      <c r="E43" s="10">
        <v>0</v>
      </c>
      <c r="F43" s="11">
        <v>0</v>
      </c>
      <c r="G43" s="12" t="e">
        <f>100 * E43 / (E43 + F43 )</f>
        <v>#DIV/0!</v>
      </c>
      <c r="H43" s="13" t="e">
        <f>ROUND(MIN(J43:N43), 3) &amp; " (" &amp; INDEX(J42:N42, MATCH(MIN(J43:N43), J43:N43, 0)) &amp; ")"</f>
        <v>#DIV/0!</v>
      </c>
      <c r="I43" s="13" t="e">
        <f>ROUND(MAX(J43:N43), 3) &amp; " (" &amp; INDEX(J42:N42, MATCH(MIN(J43:N43), J43:N43, 0)) &amp; ")"</f>
        <v>#DIV/0!</v>
      </c>
      <c r="J43" s="13" t="e">
        <f>(0) / (E43 + F43 )</f>
        <v>#DIV/0!</v>
      </c>
      <c r="K43" s="13" t="e">
        <f>(0) / (E43 + F43 )</f>
        <v>#DIV/0!</v>
      </c>
      <c r="L43" s="13" t="e">
        <f>(0) / (E43 + F43 )</f>
        <v>#DIV/0!</v>
      </c>
      <c r="M43" s="13" t="e">
        <f>(0) / (E43 + F43 )</f>
        <v>#DIV/0!</v>
      </c>
      <c r="N43" s="14" t="e">
        <f>(0) / (E43 + F43 )</f>
        <v>#DIV/0!</v>
      </c>
    </row>
    <row r="44" spans="4:14" ht="15.75" thickBot="1" x14ac:dyDescent="0.3">
      <c r="D44" s="15" t="s">
        <v>2</v>
      </c>
      <c r="E44" s="16">
        <v>0</v>
      </c>
      <c r="F44" s="17">
        <v>0</v>
      </c>
      <c r="G44" s="18" t="e">
        <f>100 * E44 / (F44 + E44)</f>
        <v>#DIV/0!</v>
      </c>
      <c r="H44" s="19" t="e">
        <f>ROUND(MIN(J44:N44), 3) &amp; " (" &amp; INDEX(J42:N42, MATCH(MIN(J44:N44), J44:N44, 0)) &amp; ")"</f>
        <v>#DIV/0!</v>
      </c>
      <c r="I44" s="19" t="e">
        <f>ROUND(MAX(J44:N44), 3) &amp; " (" &amp; INDEX(J42:N42, MATCH(MIN(J44:N44), J44:N44, 0)) &amp; ")"</f>
        <v>#DIV/0!</v>
      </c>
      <c r="J44" s="13" t="e">
        <f t="shared" ref="J44:J49" si="21">(0) / (E44 + F44 )</f>
        <v>#DIV/0!</v>
      </c>
      <c r="K44" s="13" t="e">
        <f t="shared" ref="K44:K49" si="22">(0) / (E44 + F44 )</f>
        <v>#DIV/0!</v>
      </c>
      <c r="L44" s="13" t="e">
        <f t="shared" ref="L44:L49" si="23">(0) / (E44 + F44 )</f>
        <v>#DIV/0!</v>
      </c>
      <c r="M44" s="13" t="e">
        <f t="shared" ref="M44:M49" si="24">(0) / (E44 + F44 )</f>
        <v>#DIV/0!</v>
      </c>
      <c r="N44" s="14" t="e">
        <f t="shared" ref="N44:N49" si="25">(0) / (E44 + F44 )</f>
        <v>#DIV/0!</v>
      </c>
    </row>
    <row r="45" spans="4:14" ht="15.75" thickBot="1" x14ac:dyDescent="0.3">
      <c r="D45" s="15" t="s">
        <v>3</v>
      </c>
      <c r="E45" s="16">
        <v>0</v>
      </c>
      <c r="F45" s="17">
        <v>0</v>
      </c>
      <c r="G45" s="18" t="e">
        <f xml:space="preserve"> 100 * E45 / (F45 + E45)</f>
        <v>#DIV/0!</v>
      </c>
      <c r="H45" s="19" t="e">
        <f>ROUND(MIN(J45:N45), 3) &amp; " (" &amp; INDEX(J42:N42, MATCH(MIN(J45:N45), J45:N45, 0)) &amp; ")"</f>
        <v>#DIV/0!</v>
      </c>
      <c r="I45" s="19" t="e">
        <f>ROUND(MAX(J45:N45), 3) &amp; " (" &amp; INDEX(J42:N42, MATCH(MIN(J45:N45), J45:N45, 0)) &amp; ")"</f>
        <v>#DIV/0!</v>
      </c>
      <c r="J45" s="13" t="e">
        <f t="shared" si="21"/>
        <v>#DIV/0!</v>
      </c>
      <c r="K45" s="13" t="e">
        <f t="shared" si="22"/>
        <v>#DIV/0!</v>
      </c>
      <c r="L45" s="13" t="e">
        <f t="shared" si="23"/>
        <v>#DIV/0!</v>
      </c>
      <c r="M45" s="13" t="e">
        <f t="shared" si="24"/>
        <v>#DIV/0!</v>
      </c>
      <c r="N45" s="14" t="e">
        <f t="shared" si="25"/>
        <v>#DIV/0!</v>
      </c>
    </row>
    <row r="46" spans="4:14" ht="15.75" thickBot="1" x14ac:dyDescent="0.3">
      <c r="D46" s="15" t="s">
        <v>4</v>
      </c>
      <c r="E46" s="16">
        <v>0</v>
      </c>
      <c r="F46" s="17">
        <v>0</v>
      </c>
      <c r="G46" s="18" t="e">
        <f xml:space="preserve"> 100 * E46 / (F46 + E46)</f>
        <v>#DIV/0!</v>
      </c>
      <c r="H46" s="19" t="e">
        <f>ROUND(MIN(J46:N46), 3) &amp; " (" &amp; INDEX(J42:N42, MATCH(MIN(J46:N46), J46:N46, 0)) &amp; ")"</f>
        <v>#DIV/0!</v>
      </c>
      <c r="I46" s="19" t="e">
        <f>ROUND(MAX(J46:N46), 3) &amp; " (" &amp; INDEX(J42:N42, MATCH(MIN(J46:N46), J46:N46, 0)) &amp; ")"</f>
        <v>#DIV/0!</v>
      </c>
      <c r="J46" s="13" t="e">
        <f t="shared" si="21"/>
        <v>#DIV/0!</v>
      </c>
      <c r="K46" s="13" t="e">
        <f t="shared" si="22"/>
        <v>#DIV/0!</v>
      </c>
      <c r="L46" s="13" t="e">
        <f t="shared" si="23"/>
        <v>#DIV/0!</v>
      </c>
      <c r="M46" s="13" t="e">
        <f t="shared" si="24"/>
        <v>#DIV/0!</v>
      </c>
      <c r="N46" s="14" t="e">
        <f t="shared" si="25"/>
        <v>#DIV/0!</v>
      </c>
    </row>
    <row r="47" spans="4:14" ht="15.75" thickBot="1" x14ac:dyDescent="0.3">
      <c r="D47" s="15" t="s">
        <v>0</v>
      </c>
      <c r="E47" s="16">
        <v>0</v>
      </c>
      <c r="F47" s="17">
        <v>0</v>
      </c>
      <c r="G47" s="18" t="e">
        <f>100 * E47 / (F47 + E47)</f>
        <v>#DIV/0!</v>
      </c>
      <c r="H47" s="19" t="e">
        <f>ROUND(MIN(J47:N47), 3) &amp; " (" &amp; INDEX(J42:N42, MATCH(MIN(J47:N47), J47:N47, 0)) &amp; ")"</f>
        <v>#DIV/0!</v>
      </c>
      <c r="I47" s="19" t="e">
        <f>ROUND(MAX(J47:N47), 3) &amp; " (" &amp; INDEX(J42:N42, MATCH(MIN(J47:N47), J47:N47, 0)) &amp; ")"</f>
        <v>#DIV/0!</v>
      </c>
      <c r="J47" s="13" t="e">
        <f t="shared" si="21"/>
        <v>#DIV/0!</v>
      </c>
      <c r="K47" s="13" t="e">
        <f t="shared" si="22"/>
        <v>#DIV/0!</v>
      </c>
      <c r="L47" s="13" t="e">
        <f t="shared" si="23"/>
        <v>#DIV/0!</v>
      </c>
      <c r="M47" s="13" t="e">
        <f t="shared" si="24"/>
        <v>#DIV/0!</v>
      </c>
      <c r="N47" s="14" t="e">
        <f t="shared" si="25"/>
        <v>#DIV/0!</v>
      </c>
    </row>
    <row r="48" spans="4:14" ht="15.75" thickBot="1" x14ac:dyDescent="0.3">
      <c r="D48" s="15" t="s">
        <v>5</v>
      </c>
      <c r="E48" s="16">
        <v>0</v>
      </c>
      <c r="F48" s="17">
        <v>0</v>
      </c>
      <c r="G48" s="18" t="e">
        <f>100 * E48 / (F48 + E48)</f>
        <v>#DIV/0!</v>
      </c>
      <c r="H48" s="19" t="e">
        <f>ROUND(MIN(J48:N48), 3) &amp; " (" &amp; INDEX(J42:N42, MATCH(MIN(J48:N48), J48:N48, 0)) &amp; ")"</f>
        <v>#DIV/0!</v>
      </c>
      <c r="I48" s="19" t="e">
        <f>ROUND(MAX(J48:N48), 3) &amp; " (" &amp; INDEX(J42:N42, MATCH(MIN(J48:N48), J48:N48, 0)) &amp; ")"</f>
        <v>#DIV/0!</v>
      </c>
      <c r="J48" s="13" t="e">
        <f t="shared" si="21"/>
        <v>#DIV/0!</v>
      </c>
      <c r="K48" s="13" t="e">
        <f t="shared" si="22"/>
        <v>#DIV/0!</v>
      </c>
      <c r="L48" s="13" t="e">
        <f t="shared" si="23"/>
        <v>#DIV/0!</v>
      </c>
      <c r="M48" s="13" t="e">
        <f t="shared" si="24"/>
        <v>#DIV/0!</v>
      </c>
      <c r="N48" s="14" t="e">
        <f t="shared" si="25"/>
        <v>#DIV/0!</v>
      </c>
    </row>
    <row r="49" spans="4:14" ht="15.75" thickBot="1" x14ac:dyDescent="0.3">
      <c r="D49" s="21" t="s">
        <v>6</v>
      </c>
      <c r="E49" s="22">
        <v>0</v>
      </c>
      <c r="F49" s="23">
        <v>0</v>
      </c>
      <c r="G49" s="24" t="e">
        <f>100 * E49 / (F49 + E49)</f>
        <v>#DIV/0!</v>
      </c>
      <c r="H49" s="25" t="e">
        <f>ROUND(MIN(J49:N49), 3) &amp; " (" &amp; INDEX(J42:N42, MATCH(MIN(J49:N49), J49:N49, 0)) &amp; ")"</f>
        <v>#DIV/0!</v>
      </c>
      <c r="I49" s="25" t="e">
        <f>ROUND(MAX(J49:N49), 3) &amp; " (" &amp; INDEX(J42:N42, MATCH(MIN(J49:N49), J49:N49, 0)) &amp; ")"</f>
        <v>#DIV/0!</v>
      </c>
      <c r="J49" s="13" t="e">
        <f t="shared" si="21"/>
        <v>#DIV/0!</v>
      </c>
      <c r="K49" s="13" t="e">
        <f t="shared" si="22"/>
        <v>#DIV/0!</v>
      </c>
      <c r="L49" s="13" t="e">
        <f t="shared" si="23"/>
        <v>#DIV/0!</v>
      </c>
      <c r="M49" s="13" t="e">
        <f t="shared" si="24"/>
        <v>#DIV/0!</v>
      </c>
      <c r="N49" s="14" t="e">
        <f t="shared" si="25"/>
        <v>#DIV/0!</v>
      </c>
    </row>
    <row r="50" spans="4:14" ht="15.75" thickBot="1" x14ac:dyDescent="0.3">
      <c r="D50" s="27"/>
      <c r="E50" s="27"/>
      <c r="F50" s="27"/>
      <c r="G50" s="27"/>
      <c r="H50" s="27"/>
      <c r="I50" s="28" t="s">
        <v>15</v>
      </c>
      <c r="J50" s="29" t="e">
        <f>(J43 + J44 + J45 + J46 + J47 + J48 + J49)  / (7)</f>
        <v>#DIV/0!</v>
      </c>
      <c r="K50" s="30" t="e">
        <f t="shared" ref="K50:M50" si="26">(K43 + K44 + K45 + K46 + K47 + K48 + K49)  / (7)</f>
        <v>#DIV/0!</v>
      </c>
      <c r="L50" s="30" t="e">
        <f t="shared" si="26"/>
        <v>#DIV/0!</v>
      </c>
      <c r="M50" s="30" t="e">
        <f t="shared" si="26"/>
        <v>#DIV/0!</v>
      </c>
      <c r="N50" s="31" t="e">
        <f>(N43 + N44 + N45 + N46 + N47 + N48 + N49)  / (7)</f>
        <v>#DIV/0!</v>
      </c>
    </row>
    <row r="51" spans="4:14" ht="15.75" thickBot="1" x14ac:dyDescent="0.3"/>
    <row r="52" spans="4:14" ht="15.75" thickBot="1" x14ac:dyDescent="0.3">
      <c r="G52" s="4" t="s">
        <v>23</v>
      </c>
      <c r="H52" s="2"/>
      <c r="I52" s="3"/>
      <c r="J52" s="1"/>
    </row>
    <row r="53" spans="4:14" ht="15.75" thickBot="1" x14ac:dyDescent="0.3">
      <c r="D53" s="1"/>
      <c r="J53" s="34" t="s">
        <v>19</v>
      </c>
      <c r="K53" s="32"/>
      <c r="L53" s="32"/>
      <c r="M53" s="32"/>
      <c r="N53" s="33"/>
    </row>
    <row r="54" spans="4:14" ht="15.75" thickBot="1" x14ac:dyDescent="0.3">
      <c r="D54" s="5"/>
      <c r="E54" s="6" t="s">
        <v>7</v>
      </c>
      <c r="F54" s="7" t="s">
        <v>8</v>
      </c>
      <c r="G54" s="7" t="s">
        <v>16</v>
      </c>
      <c r="H54" s="7" t="s">
        <v>17</v>
      </c>
      <c r="I54" s="7" t="s">
        <v>9</v>
      </c>
      <c r="J54" s="7" t="s">
        <v>10</v>
      </c>
      <c r="K54" s="7" t="s">
        <v>11</v>
      </c>
      <c r="L54" s="7" t="s">
        <v>12</v>
      </c>
      <c r="M54" s="7" t="s">
        <v>25</v>
      </c>
      <c r="N54" s="8" t="s">
        <v>14</v>
      </c>
    </row>
    <row r="55" spans="4:14" ht="15.75" thickBot="1" x14ac:dyDescent="0.3">
      <c r="D55" s="9" t="s">
        <v>1</v>
      </c>
      <c r="E55" s="10">
        <v>0</v>
      </c>
      <c r="F55" s="11">
        <v>0</v>
      </c>
      <c r="G55" s="12" t="e">
        <f>100 * E55 / (E55 + F55 )</f>
        <v>#DIV/0!</v>
      </c>
      <c r="H55" s="13" t="e">
        <f>ROUND(MIN(J55:N55), 3) &amp; " (" &amp; INDEX(J54:N54, MATCH(MIN(J55:N55), J55:N55, 0)) &amp; ")"</f>
        <v>#DIV/0!</v>
      </c>
      <c r="I55" s="13" t="e">
        <f>ROUND(MAX(J55:N55), 3) &amp; " (" &amp; INDEX(J54:N54, MATCH(MIN(J55:N55), J55:N55, 0)) &amp; ")"</f>
        <v>#DIV/0!</v>
      </c>
      <c r="J55" s="13" t="e">
        <f>(0) / (E55 + F55 )</f>
        <v>#DIV/0!</v>
      </c>
      <c r="K55" s="13" t="e">
        <f>(0) / (E55 + F55 )</f>
        <v>#DIV/0!</v>
      </c>
      <c r="L55" s="13" t="e">
        <f>(0) / (E55 + F55 )</f>
        <v>#DIV/0!</v>
      </c>
      <c r="M55" s="13" t="e">
        <f>(0) / (E55 + F55 )</f>
        <v>#DIV/0!</v>
      </c>
      <c r="N55" s="14" t="e">
        <f>(0) / (E55 + F55 )</f>
        <v>#DIV/0!</v>
      </c>
    </row>
    <row r="56" spans="4:14" ht="15.75" thickBot="1" x14ac:dyDescent="0.3">
      <c r="D56" s="15" t="s">
        <v>2</v>
      </c>
      <c r="E56" s="16">
        <v>0</v>
      </c>
      <c r="F56" s="17">
        <v>0</v>
      </c>
      <c r="G56" s="18" t="e">
        <f>100 * E56 / (F56 + E56)</f>
        <v>#DIV/0!</v>
      </c>
      <c r="H56" s="19" t="e">
        <f>ROUND(MIN(J56:N56), 3) &amp; " (" &amp; INDEX(J54:N54, MATCH(MIN(J56:N56), J56:N56, 0)) &amp; ")"</f>
        <v>#DIV/0!</v>
      </c>
      <c r="I56" s="19" t="e">
        <f>ROUND(MAX(J56:N56), 3) &amp; " (" &amp; INDEX(J54:N54, MATCH(MIN(J56:N56), J56:N56, 0)) &amp; ")"</f>
        <v>#DIV/0!</v>
      </c>
      <c r="J56" s="13" t="e">
        <f t="shared" ref="J56:J60" si="27">(0) / (E56 + F56 )</f>
        <v>#DIV/0!</v>
      </c>
      <c r="K56" s="13" t="e">
        <f t="shared" ref="K56:K60" si="28">(0) / (E56 + F56 )</f>
        <v>#DIV/0!</v>
      </c>
      <c r="L56" s="13" t="e">
        <f t="shared" ref="L56:L60" si="29">(0) / (E56 + F56 )</f>
        <v>#DIV/0!</v>
      </c>
      <c r="M56" s="13" t="e">
        <f t="shared" ref="M56:M60" si="30">(0) / (E56 + F56 )</f>
        <v>#DIV/0!</v>
      </c>
      <c r="N56" s="14" t="e">
        <f t="shared" ref="N56:N60" si="31">(0) / (E56 + F56 )</f>
        <v>#DIV/0!</v>
      </c>
    </row>
    <row r="57" spans="4:14" ht="15.75" thickBot="1" x14ac:dyDescent="0.3">
      <c r="D57" s="15" t="s">
        <v>3</v>
      </c>
      <c r="E57" s="16">
        <v>0</v>
      </c>
      <c r="F57" s="17">
        <v>0</v>
      </c>
      <c r="G57" s="18" t="e">
        <f xml:space="preserve"> 100 * E57 / (F57 + E57)</f>
        <v>#DIV/0!</v>
      </c>
      <c r="H57" s="19" t="e">
        <f>ROUND(MIN(J57:N57), 3) &amp; " (" &amp; INDEX(J54:N54, MATCH(MIN(J57:N57), J57:N57, 0)) &amp; ")"</f>
        <v>#DIV/0!</v>
      </c>
      <c r="I57" s="19" t="e">
        <f>ROUND(MAX(J57:N57), 3) &amp; " (" &amp; INDEX(J54:N54, MATCH(MIN(J57:N57), J57:N57, 0)) &amp; ")"</f>
        <v>#DIV/0!</v>
      </c>
      <c r="J57" s="13" t="e">
        <f t="shared" si="27"/>
        <v>#DIV/0!</v>
      </c>
      <c r="K57" s="13" t="e">
        <f t="shared" si="28"/>
        <v>#DIV/0!</v>
      </c>
      <c r="L57" s="13" t="e">
        <f t="shared" si="29"/>
        <v>#DIV/0!</v>
      </c>
      <c r="M57" s="13" t="e">
        <f t="shared" si="30"/>
        <v>#DIV/0!</v>
      </c>
      <c r="N57" s="14" t="e">
        <f t="shared" si="31"/>
        <v>#DIV/0!</v>
      </c>
    </row>
    <row r="58" spans="4:14" ht="15.75" thickBot="1" x14ac:dyDescent="0.3">
      <c r="D58" s="15" t="s">
        <v>4</v>
      </c>
      <c r="E58" s="16">
        <v>0</v>
      </c>
      <c r="F58" s="17">
        <v>0</v>
      </c>
      <c r="G58" s="18" t="e">
        <f xml:space="preserve"> 100 * E58 / (F58 + E58)</f>
        <v>#DIV/0!</v>
      </c>
      <c r="H58" s="19" t="e">
        <f>ROUND(MIN(J58:N58), 3) &amp; " (" &amp; INDEX(J54:N54, MATCH(MIN(J58:N58), J58:N58, 0)) &amp; ")"</f>
        <v>#DIV/0!</v>
      </c>
      <c r="I58" s="19" t="e">
        <f>ROUND(MAX(J58:N58), 3) &amp; " (" &amp; INDEX(J54:N54, MATCH(MIN(J58:N58), J58:N58, 0)) &amp; ")"</f>
        <v>#DIV/0!</v>
      </c>
      <c r="J58" s="13" t="e">
        <f t="shared" si="27"/>
        <v>#DIV/0!</v>
      </c>
      <c r="K58" s="13" t="e">
        <f t="shared" si="28"/>
        <v>#DIV/0!</v>
      </c>
      <c r="L58" s="13" t="e">
        <f t="shared" si="29"/>
        <v>#DIV/0!</v>
      </c>
      <c r="M58" s="13" t="e">
        <f t="shared" si="30"/>
        <v>#DIV/0!</v>
      </c>
      <c r="N58" s="14" t="e">
        <f t="shared" si="31"/>
        <v>#DIV/0!</v>
      </c>
    </row>
    <row r="59" spans="4:14" ht="15.75" thickBot="1" x14ac:dyDescent="0.3">
      <c r="D59" s="15" t="s">
        <v>0</v>
      </c>
      <c r="E59" s="16">
        <v>0</v>
      </c>
      <c r="F59" s="17">
        <v>0</v>
      </c>
      <c r="G59" s="18" t="e">
        <f>100 * E59 / (F59 + E59)</f>
        <v>#DIV/0!</v>
      </c>
      <c r="H59" s="19" t="e">
        <f>ROUND(MIN(J59:N59), 3) &amp; " (" &amp; INDEX(J54:N54, MATCH(MIN(J59:N59), J59:N59, 0)) &amp; ")"</f>
        <v>#DIV/0!</v>
      </c>
      <c r="I59" s="19" t="e">
        <f>ROUND(MAX(J59:N59), 3) &amp; " (" &amp; INDEX(J54:N54, MATCH(MIN(J59:N59), J59:N59, 0)) &amp; ")"</f>
        <v>#DIV/0!</v>
      </c>
      <c r="J59" s="13" t="e">
        <f t="shared" si="27"/>
        <v>#DIV/0!</v>
      </c>
      <c r="K59" s="13" t="e">
        <f t="shared" si="28"/>
        <v>#DIV/0!</v>
      </c>
      <c r="L59" s="13" t="e">
        <f t="shared" si="29"/>
        <v>#DIV/0!</v>
      </c>
      <c r="M59" s="13" t="e">
        <f t="shared" si="30"/>
        <v>#DIV/0!</v>
      </c>
      <c r="N59" s="14" t="e">
        <f t="shared" si="31"/>
        <v>#DIV/0!</v>
      </c>
    </row>
    <row r="60" spans="4:14" ht="15.75" thickBot="1" x14ac:dyDescent="0.3">
      <c r="D60" s="15" t="s">
        <v>5</v>
      </c>
      <c r="E60" s="16">
        <v>0</v>
      </c>
      <c r="F60" s="17">
        <v>0</v>
      </c>
      <c r="G60" s="18" t="e">
        <f>100 * E60 / (F60 + E60)</f>
        <v>#DIV/0!</v>
      </c>
      <c r="H60" s="19" t="e">
        <f>ROUND(MIN(J60:N60), 3) &amp; " (" &amp; INDEX(J54:N54, MATCH(MIN(J60:N60), J60:N60, 0)) &amp; ")"</f>
        <v>#DIV/0!</v>
      </c>
      <c r="I60" s="19" t="e">
        <f>ROUND(MAX(J60:N60), 3) &amp; " (" &amp; INDEX(J54:N54, MATCH(MIN(J60:N60), J60:N60, 0)) &amp; ")"</f>
        <v>#DIV/0!</v>
      </c>
      <c r="J60" s="13" t="e">
        <f t="shared" si="27"/>
        <v>#DIV/0!</v>
      </c>
      <c r="K60" s="13" t="e">
        <f t="shared" si="28"/>
        <v>#DIV/0!</v>
      </c>
      <c r="L60" s="13" t="e">
        <f t="shared" si="29"/>
        <v>#DIV/0!</v>
      </c>
      <c r="M60" s="13" t="e">
        <f t="shared" si="30"/>
        <v>#DIV/0!</v>
      </c>
      <c r="N60" s="14" t="e">
        <f t="shared" si="31"/>
        <v>#DIV/0!</v>
      </c>
    </row>
    <row r="61" spans="4:14" ht="15.75" thickBot="1" x14ac:dyDescent="0.3">
      <c r="D61" s="21" t="s">
        <v>6</v>
      </c>
      <c r="E61" s="22">
        <v>0</v>
      </c>
      <c r="F61" s="23">
        <v>0</v>
      </c>
      <c r="G61" s="24" t="e">
        <f>100 * E61 / (F61 + E61)</f>
        <v>#DIV/0!</v>
      </c>
      <c r="H61" s="25" t="e">
        <f>ROUND(MIN(J61:N61), 3) &amp; " (" &amp; INDEX(J54:N54, MATCH(MIN(J61:N61), J61:N61, 0)) &amp; ")"</f>
        <v>#DIV/0!</v>
      </c>
      <c r="I61" s="25" t="e">
        <f>ROUND(MAX(J61:N61), 3) &amp; " (" &amp; INDEX(J54:N54, MATCH(MIN(J61:N61), J61:N61, 0)) &amp; ")"</f>
        <v>#DIV/0!</v>
      </c>
      <c r="J61" s="13" t="e">
        <f t="shared" ref="J61" si="32">(0) / (E61 + F61 )</f>
        <v>#DIV/0!</v>
      </c>
      <c r="K61" s="13" t="e">
        <f t="shared" ref="K61" si="33">(0) / (E61 + F61 )</f>
        <v>#DIV/0!</v>
      </c>
      <c r="L61" s="13" t="e">
        <f t="shared" ref="L61" si="34">(0) / (E61 + F61 )</f>
        <v>#DIV/0!</v>
      </c>
      <c r="M61" s="13" t="e">
        <f t="shared" ref="M61" si="35">(0) / (E61 + F61 )</f>
        <v>#DIV/0!</v>
      </c>
      <c r="N61" s="14" t="e">
        <f t="shared" ref="N61" si="36">(0) / (E61 + F61 )</f>
        <v>#DIV/0!</v>
      </c>
    </row>
    <row r="62" spans="4:14" ht="15.75" thickBot="1" x14ac:dyDescent="0.3">
      <c r="D62" s="27"/>
      <c r="E62" s="27"/>
      <c r="F62" s="27"/>
      <c r="G62" s="27"/>
      <c r="H62" s="27"/>
      <c r="I62" s="28" t="s">
        <v>15</v>
      </c>
      <c r="J62" s="29" t="e">
        <f>(J55 + J56 + J57 + J58 + J59 + J60 + J61)  / (7)</f>
        <v>#DIV/0!</v>
      </c>
      <c r="K62" s="30" t="e">
        <f t="shared" ref="K62:M62" si="37">(K55 + K56 + K57 + K58 + K59 + K60 + K61)  / (7)</f>
        <v>#DIV/0!</v>
      </c>
      <c r="L62" s="30" t="e">
        <f t="shared" si="37"/>
        <v>#DIV/0!</v>
      </c>
      <c r="M62" s="30" t="e">
        <f t="shared" si="37"/>
        <v>#DIV/0!</v>
      </c>
      <c r="N62" s="31" t="e">
        <f>(N55 + N56 + N57 + N58 + N59 + N60 + N61)  / (7)</f>
        <v>#DIV/0!</v>
      </c>
    </row>
    <row r="63" spans="4:14" ht="15.75" thickBot="1" x14ac:dyDescent="0.3"/>
    <row r="64" spans="4:14" ht="15.75" thickBot="1" x14ac:dyDescent="0.3">
      <c r="G64" s="4" t="s">
        <v>24</v>
      </c>
      <c r="H64" s="2"/>
      <c r="I64" s="3"/>
      <c r="J64" s="1"/>
    </row>
    <row r="65" spans="4:14" ht="15.75" thickBot="1" x14ac:dyDescent="0.3">
      <c r="D65" s="1"/>
      <c r="J65" s="34" t="s">
        <v>19</v>
      </c>
      <c r="K65" s="32"/>
      <c r="L65" s="32"/>
      <c r="M65" s="32"/>
      <c r="N65" s="33"/>
    </row>
    <row r="66" spans="4:14" ht="15.75" thickBot="1" x14ac:dyDescent="0.3">
      <c r="D66" s="5"/>
      <c r="E66" s="6" t="s">
        <v>7</v>
      </c>
      <c r="F66" s="7" t="s">
        <v>8</v>
      </c>
      <c r="G66" s="7" t="s">
        <v>16</v>
      </c>
      <c r="H66" s="7" t="s">
        <v>17</v>
      </c>
      <c r="I66" s="7" t="s">
        <v>9</v>
      </c>
      <c r="J66" s="7" t="s">
        <v>10</v>
      </c>
      <c r="K66" s="7" t="s">
        <v>11</v>
      </c>
      <c r="L66" s="7" t="s">
        <v>12</v>
      </c>
      <c r="M66" s="7" t="s">
        <v>13</v>
      </c>
      <c r="N66" s="8" t="s">
        <v>25</v>
      </c>
    </row>
    <row r="67" spans="4:14" ht="15.75" thickBot="1" x14ac:dyDescent="0.3">
      <c r="D67" s="9" t="s">
        <v>1</v>
      </c>
      <c r="E67" s="10">
        <v>0</v>
      </c>
      <c r="F67" s="11">
        <v>0</v>
      </c>
      <c r="G67" s="12" t="e">
        <f>100 * E67 / (E67 + F67 )</f>
        <v>#DIV/0!</v>
      </c>
      <c r="H67" s="13" t="e">
        <f>ROUND(MIN(J67:N67), 3) &amp; " (" &amp; INDEX(J66:N66, MATCH(MIN(J67:N67), J67:N67, 0)) &amp; ")"</f>
        <v>#DIV/0!</v>
      </c>
      <c r="I67" s="13" t="e">
        <f>ROUND(MAX(J67:N67), 3) &amp; " (" &amp; INDEX(J66:N66, MATCH(MIN(J67:N67), J67:N67, 0)) &amp; ")"</f>
        <v>#DIV/0!</v>
      </c>
      <c r="J67" s="13" t="e">
        <f>(0) / (E67 + F67 )</f>
        <v>#DIV/0!</v>
      </c>
      <c r="K67" s="13" t="e">
        <f>(0) / (E67 + F67 )</f>
        <v>#DIV/0!</v>
      </c>
      <c r="L67" s="13" t="e">
        <f>(0) / (E67 + F67 )</f>
        <v>#DIV/0!</v>
      </c>
      <c r="M67" s="13" t="e">
        <f>(0) / (E67 + F67 )</f>
        <v>#DIV/0!</v>
      </c>
      <c r="N67" s="13" t="e">
        <f>(0) / (E67 + F67 )</f>
        <v>#DIV/0!</v>
      </c>
    </row>
    <row r="68" spans="4:14" ht="15.75" thickBot="1" x14ac:dyDescent="0.3">
      <c r="D68" s="15" t="s">
        <v>2</v>
      </c>
      <c r="E68" s="16">
        <v>0</v>
      </c>
      <c r="F68" s="17">
        <v>0</v>
      </c>
      <c r="G68" s="18" t="e">
        <f>100 * E68 / (F68 + E68)</f>
        <v>#DIV/0!</v>
      </c>
      <c r="H68" s="19" t="e">
        <f>ROUND(MIN(J68:N68), 3) &amp; " (" &amp; INDEX(J66:N66, MATCH(MIN(J68:N68), J68:N68, 0)) &amp; ")"</f>
        <v>#DIV/0!</v>
      </c>
      <c r="I68" s="19" t="e">
        <f>ROUND(MAX(J68:N68), 3) &amp; " (" &amp; INDEX(J66:N66, MATCH(MIN(J68:N68), J68:N68, 0)) &amp; ")"</f>
        <v>#DIV/0!</v>
      </c>
      <c r="J68" s="13" t="e">
        <f t="shared" ref="J68:J73" si="38">(0) / (E68 + F68 )</f>
        <v>#DIV/0!</v>
      </c>
      <c r="K68" s="13" t="e">
        <f t="shared" ref="K68:K73" si="39">(0) / (E68 + F68 )</f>
        <v>#DIV/0!</v>
      </c>
      <c r="L68" s="13" t="e">
        <f t="shared" ref="L68:L73" si="40">(0) / (E68 + F68 )</f>
        <v>#DIV/0!</v>
      </c>
      <c r="M68" s="13" t="e">
        <f t="shared" ref="M68:M73" si="41">(0) / (E68 + F68 )</f>
        <v>#DIV/0!</v>
      </c>
      <c r="N68" s="13" t="e">
        <f t="shared" ref="N68:N73" si="42">(0) / (E68 + F68 )</f>
        <v>#DIV/0!</v>
      </c>
    </row>
    <row r="69" spans="4:14" ht="15.75" thickBot="1" x14ac:dyDescent="0.3">
      <c r="D69" s="15" t="s">
        <v>3</v>
      </c>
      <c r="E69" s="16">
        <v>0</v>
      </c>
      <c r="F69" s="17">
        <v>0</v>
      </c>
      <c r="G69" s="18" t="e">
        <f xml:space="preserve"> 100 * E69 / (F69 + E69)</f>
        <v>#DIV/0!</v>
      </c>
      <c r="H69" s="19" t="e">
        <f>ROUND(MIN(J69:N69), 3) &amp; " (" &amp; INDEX(J66:N66, MATCH(MIN(J69:N69), J69:N69, 0)) &amp; ")"</f>
        <v>#DIV/0!</v>
      </c>
      <c r="I69" s="19" t="e">
        <f>ROUND(MAX(J69:N69), 3) &amp; " (" &amp; INDEX(J66:N66, MATCH(MIN(J69:N69), J69:N69, 0)) &amp; ")"</f>
        <v>#DIV/0!</v>
      </c>
      <c r="J69" s="13" t="e">
        <f t="shared" si="38"/>
        <v>#DIV/0!</v>
      </c>
      <c r="K69" s="13" t="e">
        <f t="shared" si="39"/>
        <v>#DIV/0!</v>
      </c>
      <c r="L69" s="13" t="e">
        <f t="shared" si="40"/>
        <v>#DIV/0!</v>
      </c>
      <c r="M69" s="13" t="e">
        <f t="shared" si="41"/>
        <v>#DIV/0!</v>
      </c>
      <c r="N69" s="13" t="e">
        <f t="shared" si="42"/>
        <v>#DIV/0!</v>
      </c>
    </row>
    <row r="70" spans="4:14" ht="15.75" thickBot="1" x14ac:dyDescent="0.3">
      <c r="D70" s="15" t="s">
        <v>4</v>
      </c>
      <c r="E70" s="16">
        <v>0</v>
      </c>
      <c r="F70" s="17">
        <v>0</v>
      </c>
      <c r="G70" s="18" t="e">
        <f xml:space="preserve"> 100 * E70 / (F70 + E70)</f>
        <v>#DIV/0!</v>
      </c>
      <c r="H70" s="19" t="e">
        <f>ROUND(MIN(J70:N70), 3) &amp; " (" &amp; INDEX(J66:N66, MATCH(MIN(J70:N70), J70:N70, 0)) &amp; ")"</f>
        <v>#DIV/0!</v>
      </c>
      <c r="I70" s="19" t="e">
        <f>ROUND(MAX(J70:N70), 3) &amp; " (" &amp; INDEX(J66:N66, MATCH(MIN(J70:N70), J70:N70, 0)) &amp; ")"</f>
        <v>#DIV/0!</v>
      </c>
      <c r="J70" s="13" t="e">
        <f t="shared" si="38"/>
        <v>#DIV/0!</v>
      </c>
      <c r="K70" s="13" t="e">
        <f t="shared" si="39"/>
        <v>#DIV/0!</v>
      </c>
      <c r="L70" s="13" t="e">
        <f t="shared" si="40"/>
        <v>#DIV/0!</v>
      </c>
      <c r="M70" s="13" t="e">
        <f t="shared" si="41"/>
        <v>#DIV/0!</v>
      </c>
      <c r="N70" s="13" t="e">
        <f t="shared" si="42"/>
        <v>#DIV/0!</v>
      </c>
    </row>
    <row r="71" spans="4:14" ht="15.75" thickBot="1" x14ac:dyDescent="0.3">
      <c r="D71" s="15" t="s">
        <v>0</v>
      </c>
      <c r="E71" s="16">
        <v>0</v>
      </c>
      <c r="F71" s="17">
        <v>0</v>
      </c>
      <c r="G71" s="18" t="e">
        <f>100 * E71 / (F71 + E71)</f>
        <v>#DIV/0!</v>
      </c>
      <c r="H71" s="19" t="e">
        <f>ROUND(MIN(J71:N71), 3) &amp; " (" &amp; INDEX(J66:N66, MATCH(MIN(J71:N71), J71:N71, 0)) &amp; ")"</f>
        <v>#DIV/0!</v>
      </c>
      <c r="I71" s="19" t="e">
        <f>ROUND(MAX(J71:N71), 3) &amp; " (" &amp; INDEX(J66:N66, MATCH(MIN(J71:N71), J71:N71, 0)) &amp; ")"</f>
        <v>#DIV/0!</v>
      </c>
      <c r="J71" s="13" t="e">
        <f t="shared" si="38"/>
        <v>#DIV/0!</v>
      </c>
      <c r="K71" s="13" t="e">
        <f t="shared" si="39"/>
        <v>#DIV/0!</v>
      </c>
      <c r="L71" s="13" t="e">
        <f t="shared" si="40"/>
        <v>#DIV/0!</v>
      </c>
      <c r="M71" s="13" t="e">
        <f t="shared" si="41"/>
        <v>#DIV/0!</v>
      </c>
      <c r="N71" s="13" t="e">
        <f t="shared" si="42"/>
        <v>#DIV/0!</v>
      </c>
    </row>
    <row r="72" spans="4:14" ht="15.75" thickBot="1" x14ac:dyDescent="0.3">
      <c r="D72" s="15" t="s">
        <v>5</v>
      </c>
      <c r="E72" s="16">
        <v>0</v>
      </c>
      <c r="F72" s="17">
        <v>0</v>
      </c>
      <c r="G72" s="18" t="e">
        <f>100 * E72 / (F72 + E72)</f>
        <v>#DIV/0!</v>
      </c>
      <c r="H72" s="19" t="e">
        <f>ROUND(MIN(J72:N72), 3) &amp; " (" &amp; INDEX(J66:N66, MATCH(MIN(J72:N72), J72:N72, 0)) &amp; ")"</f>
        <v>#DIV/0!</v>
      </c>
      <c r="I72" s="19" t="e">
        <f>ROUND(MAX(J72:N72), 3) &amp; " (" &amp; INDEX(J66:N66, MATCH(MIN(J72:N72), J72:N72, 0)) &amp; ")"</f>
        <v>#DIV/0!</v>
      </c>
      <c r="J72" s="13" t="e">
        <f t="shared" si="38"/>
        <v>#DIV/0!</v>
      </c>
      <c r="K72" s="13" t="e">
        <f t="shared" si="39"/>
        <v>#DIV/0!</v>
      </c>
      <c r="L72" s="13" t="e">
        <f t="shared" si="40"/>
        <v>#DIV/0!</v>
      </c>
      <c r="M72" s="13" t="e">
        <f t="shared" si="41"/>
        <v>#DIV/0!</v>
      </c>
      <c r="N72" s="13" t="e">
        <f t="shared" si="42"/>
        <v>#DIV/0!</v>
      </c>
    </row>
    <row r="73" spans="4:14" ht="15.75" thickBot="1" x14ac:dyDescent="0.3">
      <c r="D73" s="21" t="s">
        <v>6</v>
      </c>
      <c r="E73" s="22">
        <v>0</v>
      </c>
      <c r="F73" s="23">
        <v>0</v>
      </c>
      <c r="G73" s="24" t="e">
        <f>100 * E73 / (F73 + E73)</f>
        <v>#DIV/0!</v>
      </c>
      <c r="H73" s="25" t="e">
        <f>ROUND(MIN(J73:N73), 3) &amp; " (" &amp; INDEX(J66:N66, MATCH(MIN(J73:N73), J73:N73, 0)) &amp; ")"</f>
        <v>#DIV/0!</v>
      </c>
      <c r="I73" s="25" t="e">
        <f>ROUND(MAX(J73:N73), 3) &amp; " (" &amp; INDEX(J66:N66, MATCH(MIN(J73:N73), J73:N73, 0)) &amp; ")"</f>
        <v>#DIV/0!</v>
      </c>
      <c r="J73" s="13" t="e">
        <f t="shared" si="38"/>
        <v>#DIV/0!</v>
      </c>
      <c r="K73" s="13" t="e">
        <f t="shared" si="39"/>
        <v>#DIV/0!</v>
      </c>
      <c r="L73" s="13" t="e">
        <f t="shared" si="40"/>
        <v>#DIV/0!</v>
      </c>
      <c r="M73" s="13" t="e">
        <f t="shared" si="41"/>
        <v>#DIV/0!</v>
      </c>
      <c r="N73" s="13" t="e">
        <f t="shared" si="42"/>
        <v>#DIV/0!</v>
      </c>
    </row>
    <row r="74" spans="4:14" ht="15.75" thickBot="1" x14ac:dyDescent="0.3">
      <c r="D74" s="27"/>
      <c r="E74" s="27"/>
      <c r="F74" s="27"/>
      <c r="G74" s="27"/>
      <c r="H74" s="27"/>
      <c r="I74" s="28" t="s">
        <v>15</v>
      </c>
      <c r="J74" s="29" t="e">
        <f>(J67 + J68 + J69 + J70 + J71 + J72 + J73)  / (7)</f>
        <v>#DIV/0!</v>
      </c>
      <c r="K74" s="30" t="e">
        <f t="shared" ref="K74:M74" si="43">(K67 + K68 + K69 + K70 + K71 + K72 + K73)  / (7)</f>
        <v>#DIV/0!</v>
      </c>
      <c r="L74" s="30" t="e">
        <f t="shared" si="43"/>
        <v>#DIV/0!</v>
      </c>
      <c r="M74" s="30" t="e">
        <f t="shared" si="43"/>
        <v>#DIV/0!</v>
      </c>
      <c r="N74" s="31" t="e">
        <f>(N67 + N68 + N69 + N70 + N71 + N72 + N73)  / (7)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Grande rubio</dc:creator>
  <cp:lastModifiedBy> </cp:lastModifiedBy>
  <dcterms:created xsi:type="dcterms:W3CDTF">2015-06-05T18:19:34Z</dcterms:created>
  <dcterms:modified xsi:type="dcterms:W3CDTF">2025-04-10T15:59:49Z</dcterms:modified>
</cp:coreProperties>
</file>